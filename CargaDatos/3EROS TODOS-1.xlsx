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yronGeovannyHerrera\OneDrive - Digital Challengers\Escritorio\"/>
    </mc:Choice>
  </mc:AlternateContent>
  <bookViews>
    <workbookView xWindow="0" yWindow="0" windowWidth="19200" windowHeight="6350" activeTab="2"/>
  </bookViews>
  <sheets>
    <sheet name="JURAMENTO A LA BANDERA " sheetId="1" r:id="rId1"/>
    <sheet name="3EROS LISTADOS" sheetId="4" r:id="rId2"/>
    <sheet name="LISTADO RESAGADOS FOTO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37" i="1"/>
  <c r="D35" i="1"/>
  <c r="F731" i="4"/>
  <c r="E732" i="4"/>
  <c r="E731" i="4"/>
  <c r="E22" i="1" l="1"/>
  <c r="E23" i="1" s="1"/>
  <c r="D22" i="1"/>
  <c r="E24" i="1" s="1"/>
  <c r="F690" i="4"/>
  <c r="E690" i="4"/>
  <c r="E691" i="4" s="1"/>
  <c r="F644" i="4"/>
  <c r="E644" i="4"/>
  <c r="F599" i="4"/>
  <c r="E599" i="4"/>
  <c r="E376" i="4"/>
  <c r="F376" i="4"/>
  <c r="F553" i="4"/>
  <c r="E553" i="4"/>
  <c r="F504" i="4"/>
  <c r="E504" i="4"/>
  <c r="F464" i="4"/>
  <c r="E464" i="4"/>
  <c r="F423" i="4"/>
  <c r="E423" i="4"/>
  <c r="F331" i="4"/>
  <c r="E331" i="4"/>
  <c r="F280" i="4"/>
  <c r="E280" i="4"/>
  <c r="F233" i="4"/>
  <c r="E233" i="4"/>
  <c r="E184" i="4"/>
  <c r="F184" i="4"/>
  <c r="E25" i="1" l="1"/>
  <c r="E645" i="4"/>
  <c r="E505" i="4"/>
  <c r="E234" i="4"/>
  <c r="E600" i="4"/>
  <c r="E424" i="4"/>
  <c r="E377" i="4"/>
  <c r="E554" i="4"/>
  <c r="E332" i="4"/>
  <c r="E465" i="4"/>
  <c r="E281" i="4"/>
  <c r="E185" i="4"/>
  <c r="F135" i="4" l="1"/>
  <c r="E135" i="4"/>
  <c r="F87" i="4"/>
  <c r="E87" i="4"/>
  <c r="F40" i="4"/>
  <c r="E40" i="4"/>
  <c r="E41" i="4" l="1"/>
  <c r="E136" i="4"/>
  <c r="E88" i="4"/>
  <c r="F22" i="1"/>
  <c r="C39" i="1" s="1"/>
</calcChain>
</file>

<file path=xl/sharedStrings.xml><?xml version="1.0" encoding="utf-8"?>
<sst xmlns="http://schemas.openxmlformats.org/spreadsheetml/2006/main" count="1911" uniqueCount="1335">
  <si>
    <t>UNIDAD EDUCATIVA CONSEJO PROVINCIAL DE PICHINCHA</t>
  </si>
  <si>
    <t>PARALELO</t>
  </si>
  <si>
    <t>ESPECIALIDAD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</si>
  <si>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</si>
  <si>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</si>
  <si>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</si>
  <si>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</si>
  <si>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</si>
  <si>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</si>
  <si>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</si>
  <si>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</si>
  <si>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</si>
  <si>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</si>
  <si>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</si>
  <si>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</si>
  <si>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CIENCIAS</t>
  </si>
  <si>
    <t>NOMINA</t>
  </si>
  <si>
    <t>CURSO</t>
  </si>
  <si>
    <t>NOMINA DE RESAGADOS/ FOTOGRAFIA FAMILIAR SABADO 19/09/26</t>
  </si>
  <si>
    <t>RODRIGUEZ ODALIS</t>
  </si>
  <si>
    <t>TIPAÑA MARIA JOSE</t>
  </si>
  <si>
    <t>3RO</t>
  </si>
  <si>
    <t xml:space="preserve">Alvarez Mayli </t>
  </si>
  <si>
    <t>Chimbo Rony</t>
  </si>
  <si>
    <t>Jaramillo Johao</t>
  </si>
  <si>
    <t>Monroy Liz</t>
  </si>
  <si>
    <t xml:space="preserve">Ramirez Dominique </t>
  </si>
  <si>
    <t xml:space="preserve">Rodríguez Lina </t>
  </si>
  <si>
    <t xml:space="preserve">Vega David </t>
  </si>
  <si>
    <t xml:space="preserve">Yanez Josué </t>
  </si>
  <si>
    <t>Toapanta Maykel "adicional"</t>
  </si>
  <si>
    <t>3ERO</t>
  </si>
  <si>
    <t>COMERCIO Y VENTAS</t>
  </si>
  <si>
    <t>ZAPATA CAUTULLIN ANDRES ESTEBAN</t>
  </si>
  <si>
    <t>CHACÓN RUEDA MIKAELA ELIZABETH </t>
  </si>
  <si>
    <t>GARZÓN GARCÍA ERICK LEONARDO  </t>
  </si>
  <si>
    <t>CASIGNA POMA DAVID SEBASTIÁN</t>
  </si>
  <si>
    <t>PINCAY TADAY YESENIA NATALIE</t>
  </si>
  <si>
    <t>SALVADOR MARTÍNEZ DANIEL MAURICIO</t>
  </si>
  <si>
    <t>SARABIA VACA SAMANTHA DOMENICA</t>
  </si>
  <si>
    <t>TONATO FERNÁNDEZ KERLY SARAHI </t>
  </si>
  <si>
    <t>VELA LARA THALIA ANDREA</t>
  </si>
  <si>
    <t>Arias Coello Susan Luguina</t>
  </si>
  <si>
    <t xml:space="preserve">Astudillo Morejón Britani Carolina </t>
  </si>
  <si>
    <t xml:space="preserve">Clavijo Taipe Jostin Ariel </t>
  </si>
  <si>
    <t xml:space="preserve">Cruz Herrera Jennifer Daniela </t>
  </si>
  <si>
    <t>Fierro Zambrano Misael Aracely</t>
  </si>
  <si>
    <t xml:space="preserve">González Zambrano Anabel Alejandra </t>
  </si>
  <si>
    <t>Guanina Tigasi Kevin Stalin</t>
  </si>
  <si>
    <t xml:space="preserve">Kevin Ariel Llano Tipantuña </t>
  </si>
  <si>
    <t>Medina Sarango Mathias Didier</t>
  </si>
  <si>
    <t xml:space="preserve">Muñoz Paz Felipe Benjamín </t>
  </si>
  <si>
    <t xml:space="preserve">Rosero Vizuete Gary Darían </t>
  </si>
  <si>
    <t xml:space="preserve">Sángucho Guaman Lady Tatiana </t>
  </si>
  <si>
    <t xml:space="preserve">Sinchiguano Villaprado Génesis Alejandra </t>
  </si>
  <si>
    <t xml:space="preserve">Taipe Guarderas Anthony Isaac </t>
  </si>
  <si>
    <t>Vargas Jiménez Cristina Aracely</t>
  </si>
  <si>
    <t xml:space="preserve">Iglesias Nacevilla Ariana Noemí </t>
  </si>
  <si>
    <t>Kimberly Macías</t>
  </si>
  <si>
    <t>Karen Pilataxi</t>
  </si>
  <si>
    <t>Ismael Llano</t>
  </si>
  <si>
    <t xml:space="preserve">Chancusig Joel </t>
  </si>
  <si>
    <t xml:space="preserve">Jossue Proaño </t>
  </si>
  <si>
    <t>Alejandra Azogue</t>
  </si>
  <si>
    <t>Calderón Ruiz Stefania del cisne</t>
  </si>
  <si>
    <t>Cordova Montenegro Yadira Nisheret</t>
  </si>
  <si>
    <t>Olalla Cruz josabet Maely</t>
  </si>
  <si>
    <t>Ortega Torres Costin Azahel</t>
  </si>
  <si>
    <t>Pilatasig Flores Sheila Anahi</t>
  </si>
  <si>
    <t>Sángucho Zamora Didier Patricio</t>
  </si>
  <si>
    <t>Tipan Pujota Bryan Josué</t>
  </si>
  <si>
    <t>Tixe Cabay Joel Sebastián</t>
  </si>
  <si>
    <t>Pilatasig Katerine</t>
  </si>
  <si>
    <t>JACOME ODALYS</t>
  </si>
  <si>
    <t>TAIPE MAYQUEL</t>
  </si>
  <si>
    <t>AGUIRRE TATIANA</t>
  </si>
  <si>
    <t>ANALUISA ESTEFANY</t>
  </si>
  <si>
    <t>ANDRADE PRISCILA</t>
  </si>
  <si>
    <t>BENAVIDES MATHIAS</t>
  </si>
  <si>
    <t>CHISAGUANO DANNA</t>
  </si>
  <si>
    <t>CUJI ISAAC</t>
  </si>
  <si>
    <t>FONSECA NICOLE</t>
  </si>
  <si>
    <t>MIELES GABRIELA</t>
  </si>
  <si>
    <t>MOLINA CHRISTOPER</t>
  </si>
  <si>
    <t>REVELO PAULA</t>
  </si>
  <si>
    <t>SANCHEZ JOSUE</t>
  </si>
  <si>
    <t>ZAVALA VALENTINA</t>
  </si>
  <si>
    <t xml:space="preserve">Andrade García Adrian Benjamín. </t>
  </si>
  <si>
    <t>Caiza Piaun Belinda Abigail.</t>
  </si>
  <si>
    <t>Iler Places Sandro Jacinto.</t>
  </si>
  <si>
    <t>Mena Dávila Damian Alejandro.</t>
  </si>
  <si>
    <t>Ramos Muñoz Joselyn Anahi.</t>
  </si>
  <si>
    <t xml:space="preserve">Ramos Sevilla Ana Lucia. </t>
  </si>
  <si>
    <t>Vinueza Cadena Amy Elizabeth.</t>
  </si>
  <si>
    <t>Arias Estrada Daniela.</t>
  </si>
  <si>
    <t>AMAGUAÑA KIMBERLY</t>
  </si>
  <si>
    <t>HERNANDEZ VIANKA</t>
  </si>
  <si>
    <t>TOAQUIZA ALEXANDRA (ESTUDIO)</t>
  </si>
  <si>
    <t>CASTRO ANABEL</t>
  </si>
  <si>
    <t>HIPO MAYKEL</t>
  </si>
  <si>
    <t>IGLESIAS NEUS</t>
  </si>
  <si>
    <t>MURILLO CRISTOFER</t>
  </si>
  <si>
    <t>CAÑIN MATEO</t>
  </si>
  <si>
    <t>PILATAXI NATASHA</t>
  </si>
  <si>
    <t>PUCHAICELA NATHALY</t>
  </si>
  <si>
    <t>RUIZ YARETH</t>
  </si>
  <si>
    <t>UNTUÑA BRITHANY</t>
  </si>
  <si>
    <t>VALLADARES MEGGAN</t>
  </si>
  <si>
    <t>VELASCO SEBASTIAN</t>
  </si>
  <si>
    <t>CASIGNIA SAMANTHA</t>
  </si>
  <si>
    <t>CONDO ARIEL</t>
  </si>
  <si>
    <t>CUENCA KRISTEL</t>
  </si>
  <si>
    <t>FREIRE MARSHURI</t>
  </si>
  <si>
    <t>TENEMAZA KERLY</t>
  </si>
  <si>
    <t>VARGAS DOMENICA</t>
  </si>
  <si>
    <t>HURTADO ANTHONY</t>
  </si>
  <si>
    <t>CHULDE MATHEWS</t>
  </si>
  <si>
    <t>CONTABILIDAD</t>
  </si>
  <si>
    <t>ESTEVEZ CARLOS</t>
  </si>
  <si>
    <t>LASSO YULIANA</t>
  </si>
  <si>
    <t>LLUCO ELIZABETH</t>
  </si>
  <si>
    <t>ORTEGA MAYLI</t>
  </si>
  <si>
    <t>PAEZ MATEO</t>
  </si>
  <si>
    <t>QUITO LENIN</t>
  </si>
  <si>
    <t>VICHICELA KIMBERLY</t>
  </si>
  <si>
    <t>VICHICELA KRISTOFER</t>
  </si>
  <si>
    <t>BERNAL ROJAS</t>
  </si>
  <si>
    <t>CHILES GIANELLA</t>
  </si>
  <si>
    <t>L</t>
  </si>
  <si>
    <t>FIRMA</t>
  </si>
  <si>
    <t>LOACHAMIN NAOMI</t>
  </si>
  <si>
    <t>MOTIVO</t>
  </si>
  <si>
    <t>VALOR</t>
  </si>
  <si>
    <t>INGRESOS:</t>
  </si>
  <si>
    <t>EGRESOS:</t>
  </si>
  <si>
    <t>RESTANTE:</t>
  </si>
  <si>
    <t>EGRESOS</t>
  </si>
  <si>
    <t>INSTITUCION EDUCATIVA</t>
  </si>
  <si>
    <t>CONSEJO PROVINCIAL DE PICHINCHA - 17H01128</t>
  </si>
  <si>
    <t>AÑO LECTIVO</t>
  </si>
  <si>
    <t>2026-2027</t>
  </si>
  <si>
    <t>JORNADA</t>
  </si>
  <si>
    <t>MATUTINA</t>
  </si>
  <si>
    <t>3ERO BACHILLERATO, Ciencias</t>
  </si>
  <si>
    <t>No.</t>
  </si>
  <si>
    <t>CÉDULA</t>
  </si>
  <si>
    <t>NOMBRES COMPLETOS</t>
  </si>
  <si>
    <t>1728968627</t>
  </si>
  <si>
    <t>ABAD LARREA ALAN JAHIR</t>
  </si>
  <si>
    <t>1753924909</t>
  </si>
  <si>
    <t>AMAGUAÑA CUMBAJIN KIMBERLY ANAHI</t>
  </si>
  <si>
    <t>1751010370</t>
  </si>
  <si>
    <t>ARAUJO MIRANDA DAMARIS ALEJANDRA</t>
  </si>
  <si>
    <t>1752048155</t>
  </si>
  <si>
    <t>CEDEÑO LUNA CHRISTIAN MATEO</t>
  </si>
  <si>
    <t>1754964607</t>
  </si>
  <si>
    <t>CORTEZ ANDRADE RUBI ANGELINA</t>
  </si>
  <si>
    <t>1752629889</t>
  </si>
  <si>
    <t>GUALPA VIZUETE TIFANY ELIZABETH</t>
  </si>
  <si>
    <t>1754942918</t>
  </si>
  <si>
    <t>GUAÑA ROSERO DILAN MARTIN</t>
  </si>
  <si>
    <t>1755223227</t>
  </si>
  <si>
    <t>GUERRERO GUERRA CAMILA MAYERLI</t>
  </si>
  <si>
    <t>1753579976</t>
  </si>
  <si>
    <t>GUTIERREZ MERA TIFFANY NOELIA</t>
  </si>
  <si>
    <t>1751560150</t>
  </si>
  <si>
    <t>HERNANDEZ PORTILLA VIANKA DONATELLA</t>
  </si>
  <si>
    <t>1754524336</t>
  </si>
  <si>
    <t>JAYA PAREDES ALISSON BRIGGETTE</t>
  </si>
  <si>
    <t>1750066852</t>
  </si>
  <si>
    <t>LOOR ALMACHE JOSIAS DAVID</t>
  </si>
  <si>
    <t>1753863198</t>
  </si>
  <si>
    <t>LOPEZ VIVEROS DAYRA NAOMI</t>
  </si>
  <si>
    <t>1728817113</t>
  </si>
  <si>
    <t>MERA GALLARDO MARILYN MISHELL</t>
  </si>
  <si>
    <t>1752211928</t>
  </si>
  <si>
    <t>MORA HURTADO AARON ISRAEL</t>
  </si>
  <si>
    <t>1755413331</t>
  </si>
  <si>
    <t>MORALES AGURTO LADY SALOME</t>
  </si>
  <si>
    <t>1729252781</t>
  </si>
  <si>
    <t>MORALES NAZATE MATHEO LUIS</t>
  </si>
  <si>
    <t>1753762796</t>
  </si>
  <si>
    <t>PAGUAY MURILLO CRISTOPHER ARIEL</t>
  </si>
  <si>
    <t>1752055820</t>
  </si>
  <si>
    <t>PESANTEZ AGUILAR DAMIAN NICOLAS</t>
  </si>
  <si>
    <t>1751197847</t>
  </si>
  <si>
    <t>PINEDA LLUMIQUINGA SANTIAGO DAVID</t>
  </si>
  <si>
    <t>1755737861</t>
  </si>
  <si>
    <t>PONCE ESPAÑA IVANNA ZAE</t>
  </si>
  <si>
    <t>1751881473</t>
  </si>
  <si>
    <t>PULLUGANDO URQUIA JHAMILETT ALEXANDRA</t>
  </si>
  <si>
    <t>1752095750</t>
  </si>
  <si>
    <t>QUIROGA CHULCA ALEJANDRA SARAHY</t>
  </si>
  <si>
    <t>1753586120</t>
  </si>
  <si>
    <t>ROBALINO PILATUÑA ALAN GABRIEL</t>
  </si>
  <si>
    <t>1755096391</t>
  </si>
  <si>
    <t>ROLDAN LEMA ANGEL DAVID</t>
  </si>
  <si>
    <t>1727160952</t>
  </si>
  <si>
    <t>SALGADO GARRIDO MAYKEL DONATO</t>
  </si>
  <si>
    <t>1752051241</t>
  </si>
  <si>
    <t>SISALEMA YUNGAN MAYTTE ALEJANDRA</t>
  </si>
  <si>
    <t>1755730544</t>
  </si>
  <si>
    <t>TOAPANTA ARCOS MICAELA JULIETH</t>
  </si>
  <si>
    <t>1755640925</t>
  </si>
  <si>
    <t>TOAQUIZA PILAGUANO ALEXANDRA NOEMI</t>
  </si>
  <si>
    <t>1753972387</t>
  </si>
  <si>
    <t>TREJO MERINO JOEL ESTEBAN</t>
  </si>
  <si>
    <t>1753782653</t>
  </si>
  <si>
    <t>VASQUEZ ARTEAGA LEONARDO MATEO</t>
  </si>
  <si>
    <t>1753874914</t>
  </si>
  <si>
    <t>VELASCO CONLAGO NAOMI ANTONELA</t>
  </si>
  <si>
    <t>1752086262</t>
  </si>
  <si>
    <t>VIZUETE CEVALLOS SAMANTHA MISHEL</t>
  </si>
  <si>
    <t>FIRMA DEL DOCENTE TUTOR</t>
  </si>
  <si>
    <t>1755209044</t>
  </si>
  <si>
    <t>ACEVEDO CHASI BRITHANY NAYELY</t>
  </si>
  <si>
    <t>1753786506</t>
  </si>
  <si>
    <t>ACHIG PAEZ BRITANI STEFANIA</t>
  </si>
  <si>
    <t>1755052782</t>
  </si>
  <si>
    <t>ALLAICA FRAGA LIZETH ANALIA</t>
  </si>
  <si>
    <t>1753186996</t>
  </si>
  <si>
    <t>ANDRADE CEDEÑO ALEX JADIEL</t>
  </si>
  <si>
    <t>1754982104</t>
  </si>
  <si>
    <t>ARIAS VINUEZA ANAHI VALENTINA</t>
  </si>
  <si>
    <t>1754728606</t>
  </si>
  <si>
    <t>AYALA TOAPANTA JEREMY MARTIN</t>
  </si>
  <si>
    <t>1752446995</t>
  </si>
  <si>
    <t>CARRERA VACA CAMILA DANIELA</t>
  </si>
  <si>
    <t>0550047765</t>
  </si>
  <si>
    <t>CHANCUSI PARRA GENESIS GABRIELA</t>
  </si>
  <si>
    <t>1754891628</t>
  </si>
  <si>
    <t>CHANGO LEON MAYKEL ALBEIRO</t>
  </si>
  <si>
    <t>1756258867</t>
  </si>
  <si>
    <t>CHASILUISA VARGAS JEORDANA ELYZABETH</t>
  </si>
  <si>
    <t>0250168283</t>
  </si>
  <si>
    <t>CHIMBO CHACHA MARCO ADRIAN</t>
  </si>
  <si>
    <t>0550417885</t>
  </si>
  <si>
    <t>CHUSIN CAYO STALYN KEVIN</t>
  </si>
  <si>
    <t>1750123471</t>
  </si>
  <si>
    <t>COELLO ULLAURI MATIAS GABRIEL</t>
  </si>
  <si>
    <t>0606146785</t>
  </si>
  <si>
    <t>DAQUILEMA BRAVO RENATO JORDAN</t>
  </si>
  <si>
    <t>1752873438</t>
  </si>
  <si>
    <t>FLORES GUANIN JULIETH ANAHI</t>
  </si>
  <si>
    <t>1752647600</t>
  </si>
  <si>
    <t>GONZAGA TAPIA THAIS MICAELA</t>
  </si>
  <si>
    <t>1754724415</t>
  </si>
  <si>
    <t>GONZALEZ TAMAYO STIVEN MATEO</t>
  </si>
  <si>
    <t>1755359914</t>
  </si>
  <si>
    <t>HOYOS ARTEAGA ANTHONY DARWIN</t>
  </si>
  <si>
    <t>1751099415</t>
  </si>
  <si>
    <t>HURTADO VERA LUIS ANDRES</t>
  </si>
  <si>
    <t>1754099560</t>
  </si>
  <si>
    <t>LARA SANCHEZ GEANELA ANDREA</t>
  </si>
  <si>
    <t>1750032300</t>
  </si>
  <si>
    <t>MARTINEZ ZAMBRANO DYLLAN RICARDO</t>
  </si>
  <si>
    <t>1752440006</t>
  </si>
  <si>
    <t>MONTALVO RIVADENEIRA SAMANTHA ELIZABETH</t>
  </si>
  <si>
    <t>1755089057</t>
  </si>
  <si>
    <t>PAEZ AMORES VIANCA ROMINA</t>
  </si>
  <si>
    <t>1754622601</t>
  </si>
  <si>
    <t>PARRA PAREDES JEREMY DANIEL</t>
  </si>
  <si>
    <t>1754770418</t>
  </si>
  <si>
    <t>PAZMIÑO CASA LEANDRO JHOSUE</t>
  </si>
  <si>
    <t>1752054617</t>
  </si>
  <si>
    <t>QUINDIGALLI PILLAJO EMILY ELIZABETH</t>
  </si>
  <si>
    <t>1751334655</t>
  </si>
  <si>
    <t>QUISHPE YUQUILEMA SOFIA ALEJANDRA</t>
  </si>
  <si>
    <t>1751864008</t>
  </si>
  <si>
    <t>RAMOS LLIVISUPA ISSIS STEPHANIA</t>
  </si>
  <si>
    <t>1753134004</t>
  </si>
  <si>
    <t>RODRIGUEZ CARRASCO MAIKEL MARCELO</t>
  </si>
  <si>
    <t>1754412953</t>
  </si>
  <si>
    <t>RODRIGUEZ NUÑEZ ODALIS ALEXANDRA</t>
  </si>
  <si>
    <t>1754911947</t>
  </si>
  <si>
    <t>SALGADO LOPEZ ALBA MELISSA</t>
  </si>
  <si>
    <t>1755805700</t>
  </si>
  <si>
    <t>SARZOSA SALTOS CARLOS ANDRES</t>
  </si>
  <si>
    <t>1728968569</t>
  </si>
  <si>
    <t>TIPAÑA GUAICO MARIA JOSE</t>
  </si>
  <si>
    <t>1755059738</t>
  </si>
  <si>
    <t>URIÑA DOMINGUEZ CHRISTOPHER MOISES</t>
  </si>
  <si>
    <t>1756241442</t>
  </si>
  <si>
    <t>VARGAS HURTADO ARLETH DAYANARA</t>
  </si>
  <si>
    <t>1753945987</t>
  </si>
  <si>
    <t>VASQUEZ AGAMA MATIAS ALEJANDRO</t>
  </si>
  <si>
    <t>1755735592</t>
  </si>
  <si>
    <t>VIRACUCHA JACOME ARIANNA DOMENICA</t>
  </si>
  <si>
    <t>1752652568</t>
  </si>
  <si>
    <t>YAGUACHI CALERO EDISON JAVIER</t>
  </si>
  <si>
    <t>1729182749</t>
  </si>
  <si>
    <t>ALMACHI CAZA LUIS ALEJANDRO</t>
  </si>
  <si>
    <t>2150376917</t>
  </si>
  <si>
    <t>ALVAREZ VARGAS KAROL DANIELA</t>
  </si>
  <si>
    <t>1750681460</t>
  </si>
  <si>
    <t>ARIAS ARIAS KEYLA SARAHI</t>
  </si>
  <si>
    <t>1755240510</t>
  </si>
  <si>
    <t>ARMAS BENALCAZAR TIFFANY DAYANA</t>
  </si>
  <si>
    <t>1753881778</t>
  </si>
  <si>
    <t>BAZURTO MORENO BRITHANY FERNANDA</t>
  </si>
  <si>
    <t>1727370163</t>
  </si>
  <si>
    <t>BUSTAMANTE CASTILLO LUIS ENRIQUE</t>
  </si>
  <si>
    <t>1752175743</t>
  </si>
  <si>
    <t>CASTRO HERRERA ANABEL KARINA</t>
  </si>
  <si>
    <t>1754190914</t>
  </si>
  <si>
    <t>CHAVEZ ANDINO KEVIN SEBASTIAN</t>
  </si>
  <si>
    <t>1752073443</t>
  </si>
  <si>
    <t>CHIPUGCI GUTIERREZ DAMARIS ALEJANDRA</t>
  </si>
  <si>
    <t>1752600419</t>
  </si>
  <si>
    <t>CHUGA ENDARA DANIELA FERNANDA</t>
  </si>
  <si>
    <t>1752592582</t>
  </si>
  <si>
    <t>CUEVA GUANGASIG BRITNEY SARAHI</t>
  </si>
  <si>
    <t>1753847159</t>
  </si>
  <si>
    <t>DEFAZ CUENCA ALEJANDRO SEBASTIAN</t>
  </si>
  <si>
    <t>1752212264</t>
  </si>
  <si>
    <t>DIAZ ANDRADE SARAI BETSABE</t>
  </si>
  <si>
    <t>1729386910</t>
  </si>
  <si>
    <t>FLORES JACOME ANA BELEN</t>
  </si>
  <si>
    <t>1754023743</t>
  </si>
  <si>
    <t>GAIBOR CISNEROS FRANCESCA JOANN</t>
  </si>
  <si>
    <t>1753815545</t>
  </si>
  <si>
    <t>GONZALEZ PAREDES SANDRO JOSUE</t>
  </si>
  <si>
    <t>1754635009</t>
  </si>
  <si>
    <t>HIPO YAGUACHI MAYKEL SNAYDEER</t>
  </si>
  <si>
    <t>1750024570</t>
  </si>
  <si>
    <t>ILLESCAS HIDALGO NEUS VALENTINA</t>
  </si>
  <si>
    <t>1751886035</t>
  </si>
  <si>
    <t>MEZA CARGUAQUISPE JEREMY ALEXIS</t>
  </si>
  <si>
    <t>1755692371</t>
  </si>
  <si>
    <t>MINA RIOS YURANNI DAMARIS</t>
  </si>
  <si>
    <t>1751796366</t>
  </si>
  <si>
    <t>MINGA BAYAS MAYKEL ALBERTO</t>
  </si>
  <si>
    <t>1728960319</t>
  </si>
  <si>
    <t>MORALES AGUIRRE AXEL DAMIAN</t>
  </si>
  <si>
    <t>1752055713</t>
  </si>
  <si>
    <t>MURILLO BELTRAN CRISTOPHER ISMAEL</t>
  </si>
  <si>
    <t>1750556472</t>
  </si>
  <si>
    <t>PARREÑO CASTRO MILAGROS SARAHY</t>
  </si>
  <si>
    <t>1755261854</t>
  </si>
  <si>
    <t>QUISNIA JAPON DAYCE ELENA</t>
  </si>
  <si>
    <t>1754232591</t>
  </si>
  <si>
    <t>RAMOS PASTAZA JEREMY JAEL</t>
  </si>
  <si>
    <t>148415825</t>
  </si>
  <si>
    <t>RANGEL ARRAIZ RONNIER ISAAC</t>
  </si>
  <si>
    <t>1754061487</t>
  </si>
  <si>
    <t>REASCOS ACOSTA HELLEN BRIGITH</t>
  </si>
  <si>
    <t>1755760939</t>
  </si>
  <si>
    <t>ROLDAN LEMA CRISTIAN MOISES</t>
  </si>
  <si>
    <t>2450147836</t>
  </si>
  <si>
    <t>RUIDIAZ TINOCO JEREMIAS ALEJANDRO</t>
  </si>
  <si>
    <t>1752089811</t>
  </si>
  <si>
    <t>RUMIGUANO ACELDO BREDELIZ ANAHI</t>
  </si>
  <si>
    <t>1755969647</t>
  </si>
  <si>
    <t>SACA CURCO KERLY JORDANA</t>
  </si>
  <si>
    <t>1752105914</t>
  </si>
  <si>
    <t>SEVILLA SILVA SEBASTIAN STEVEN</t>
  </si>
  <si>
    <t>1753139854</t>
  </si>
  <si>
    <t>UNAUCHO SANCHEZ DIANA CAROLINA</t>
  </si>
  <si>
    <t>1750713321</t>
  </si>
  <si>
    <t>VALENCIA MACIAS SAMUEL DAMIAN</t>
  </si>
  <si>
    <t>1752451060</t>
  </si>
  <si>
    <t>VELASCO CARRILLO ERICK DAVID</t>
  </si>
  <si>
    <t>2350312258</t>
  </si>
  <si>
    <t>VERA BRAVO LALESKA NOELIA</t>
  </si>
  <si>
    <t>1251175435</t>
  </si>
  <si>
    <t>AGUIRRE CASTRO TATIANA GISELA</t>
  </si>
  <si>
    <t>1727013060</t>
  </si>
  <si>
    <t>ALVAREZ TOSCANO LUZ DEL CARMEN</t>
  </si>
  <si>
    <t>1755756929</t>
  </si>
  <si>
    <t>ANALUISA PAZMIÑO ESTEFANY MAYTE</t>
  </si>
  <si>
    <t>1756278303</t>
  </si>
  <si>
    <t>ANDRADE CAZAR PRISCILA ABIGAIL</t>
  </si>
  <si>
    <t>1728810613</t>
  </si>
  <si>
    <t>ARELLANO PARRA MAYERLI SARAHI</t>
  </si>
  <si>
    <t>1750325621</t>
  </si>
  <si>
    <t>ARIAS MONTENEGRO CAMILA VALENTINA</t>
  </si>
  <si>
    <t>1754213633</t>
  </si>
  <si>
    <t>BENAVIDES BARRERA MATHIAS ANDRES</t>
  </si>
  <si>
    <t>1755200860</t>
  </si>
  <si>
    <t>CABEZAS VILLACIS JUAN FERNANDO</t>
  </si>
  <si>
    <t>0956346283</t>
  </si>
  <si>
    <t>CASTRO SALTOS DANER JOEL</t>
  </si>
  <si>
    <t>1753760857</t>
  </si>
  <si>
    <t>CHISAGUANO CONTERON DANA BETSABE</t>
  </si>
  <si>
    <t>1753337201</t>
  </si>
  <si>
    <t>CORRAL MEJIA SAMANTHA ELIZABETH</t>
  </si>
  <si>
    <t>0250045085</t>
  </si>
  <si>
    <t>CORRO ALARCON ANTONELLA ANAHI</t>
  </si>
  <si>
    <t>1726935842</t>
  </si>
  <si>
    <t>CUJI TIGRE ISAAC BENJAMIN</t>
  </si>
  <si>
    <t>1755136262</t>
  </si>
  <si>
    <t>FONSECA TRUJILLO NICOLE ESTEFANIA</t>
  </si>
  <si>
    <t>1753351319</t>
  </si>
  <si>
    <t>FREIRE YANEZ DAVID ALEXANDER</t>
  </si>
  <si>
    <t>1755338611</t>
  </si>
  <si>
    <t>FREIRE ZAMBRANO ALISSON HERMIONY</t>
  </si>
  <si>
    <t>1754124251</t>
  </si>
  <si>
    <t>GUAÑUNA VACA ANAHI BELEN</t>
  </si>
  <si>
    <t>1755048475</t>
  </si>
  <si>
    <t>JIMENEZ CHICAIZA STEFANY ANAHI</t>
  </si>
  <si>
    <t>1753942745</t>
  </si>
  <si>
    <t>LOPEZ CHICAIZA KERLLY BELEN</t>
  </si>
  <si>
    <t>1751899921</t>
  </si>
  <si>
    <t>LOPEZ LOZANO JENNIFER PATRICIA</t>
  </si>
  <si>
    <t>1105883282</t>
  </si>
  <si>
    <t>MIELES SANTIN GABRIELA VALENTINA</t>
  </si>
  <si>
    <t>1755555941</t>
  </si>
  <si>
    <t>MOLINA ESCOBAR CRISTOPHER JOEL</t>
  </si>
  <si>
    <t>1754140828</t>
  </si>
  <si>
    <t>NOGALES LASSO CAROLAY PAMELA</t>
  </si>
  <si>
    <t>1751298710</t>
  </si>
  <si>
    <t>OVIEDO TITUAÑA ASHELEN PAULETH</t>
  </si>
  <si>
    <t>1751775733</t>
  </si>
  <si>
    <t>PARRA BARAHONA JOSE ELIAS</t>
  </si>
  <si>
    <t>1750530410</t>
  </si>
  <si>
    <t>PERALTA TAMAYO BRIGIDTH DAFNE</t>
  </si>
  <si>
    <t>1753294238</t>
  </si>
  <si>
    <t>PEÑA NOROÑA MARIA JOSE</t>
  </si>
  <si>
    <t>1753240801</t>
  </si>
  <si>
    <t>PINARGOTE LARA ERICK FABRICIO</t>
  </si>
  <si>
    <t>1750096859</t>
  </si>
  <si>
    <t>PUCHAICELA SEVILLA JULIANA FERNANDA</t>
  </si>
  <si>
    <t>1753912755</t>
  </si>
  <si>
    <t>REVELO ESPINOZA PAULA BELEN</t>
  </si>
  <si>
    <t>1752304814</t>
  </si>
  <si>
    <t>ROMERO PORTILLA KIMILY ANDREA</t>
  </si>
  <si>
    <t>1753742137</t>
  </si>
  <si>
    <t>SANCHEZ CARRERA JOSUE ALEXANDER</t>
  </si>
  <si>
    <t>1752092047</t>
  </si>
  <si>
    <t>TAIPE AREVALO MELANIE TATIANA</t>
  </si>
  <si>
    <t>1750178244</t>
  </si>
  <si>
    <t>ULLCO QUISHPE SAMMY DANAHE</t>
  </si>
  <si>
    <t>1754394524</t>
  </si>
  <si>
    <t>VACA ANDRADE JEREMY ALEJANDRO</t>
  </si>
  <si>
    <t>1756241608</t>
  </si>
  <si>
    <t>VARGAS HURTADO NURIEL ZULEYKA</t>
  </si>
  <si>
    <t>1753504859</t>
  </si>
  <si>
    <t>VELASCO NAULA KERLLY MIKAELA</t>
  </si>
  <si>
    <t>1755555016</t>
  </si>
  <si>
    <t>VERDUGO FAREZ DANNA BRIGITE</t>
  </si>
  <si>
    <t>1751247410</t>
  </si>
  <si>
    <t>ZAVALA ZURITA VALENTINA DAYANARA</t>
  </si>
  <si>
    <t>1754120804</t>
  </si>
  <si>
    <t>ALTAMIRANO BASANTES LIDA ANDREINA</t>
  </si>
  <si>
    <t>1752944437</t>
  </si>
  <si>
    <t>ARIAS COELLO SUSAN LUGUINA</t>
  </si>
  <si>
    <t>1756225460</t>
  </si>
  <si>
    <t>ARTEAGA SANCHEZ JAIR ALEJANDRO</t>
  </si>
  <si>
    <t>1752470847</t>
  </si>
  <si>
    <t>ASTUDILLO MOREJON BRITANY CAROLINA</t>
  </si>
  <si>
    <t>1753976438</t>
  </si>
  <si>
    <t>AVILA BEDOYA ELIAS ISRAEL</t>
  </si>
  <si>
    <t>1751998582</t>
  </si>
  <si>
    <t>AYALA CUCHIPARTE JAELA MABEL</t>
  </si>
  <si>
    <t>1754947008</t>
  </si>
  <si>
    <t>BETANCOURT FLORES JANDRY JOIN</t>
  </si>
  <si>
    <t>1754695052</t>
  </si>
  <si>
    <t>CHISAGUANO TACO JAIRO JOEL</t>
  </si>
  <si>
    <t>1753427663</t>
  </si>
  <si>
    <t>CHUQUITARCO PAGUAY ANA PAULA</t>
  </si>
  <si>
    <t>1750996256</t>
  </si>
  <si>
    <t>CLAVIJO TAIPE JOSTIN ARIEL</t>
  </si>
  <si>
    <t>1750251330</t>
  </si>
  <si>
    <t>COBEÑA CANO ANTHONI JOHAN</t>
  </si>
  <si>
    <t>1751829779</t>
  </si>
  <si>
    <t>CRUZ HERRERA JENNIFER DANIELA</t>
  </si>
  <si>
    <t>1752735983</t>
  </si>
  <si>
    <t>CURAY CUZCO DARLIN JAIR</t>
  </si>
  <si>
    <t>1754269486</t>
  </si>
  <si>
    <t>FARINANGO LLANO ANDERSON SEBASTIAN</t>
  </si>
  <si>
    <t>1752670891</t>
  </si>
  <si>
    <t>FIERRO ZAMBRANO MISELL ARACELY</t>
  </si>
  <si>
    <t>1752065191</t>
  </si>
  <si>
    <t>GONZALEZ ZAMBRANO ANABEL ALEJANDRA</t>
  </si>
  <si>
    <t>0550058390</t>
  </si>
  <si>
    <t>GUANINA TIGASI KEVIN STALIN</t>
  </si>
  <si>
    <t>1753112976</t>
  </si>
  <si>
    <t>GUTIERREZ VALLE ARIANA LORELEIN</t>
  </si>
  <si>
    <t>1755317391</t>
  </si>
  <si>
    <t>HERRERA BORJA KIMBERLLY MONSERRATE</t>
  </si>
  <si>
    <t>1754041679</t>
  </si>
  <si>
    <t>IGLESIAS NASEVILLA ARIANA NOEMI</t>
  </si>
  <si>
    <t>1755492434</t>
  </si>
  <si>
    <t>JACOME ZHIMINAYCELA MATHIAS PAUL</t>
  </si>
  <si>
    <t>1752016327</t>
  </si>
  <si>
    <t>LLANO TIPANTUÑA KEVIN ARIEL</t>
  </si>
  <si>
    <t>1728900752</t>
  </si>
  <si>
    <t>LUNA REVELO DORIAN SAMIR</t>
  </si>
  <si>
    <t>1729307460</t>
  </si>
  <si>
    <t>MEDINA SARANGO MATHIAS DIDIER</t>
  </si>
  <si>
    <t>1752748218</t>
  </si>
  <si>
    <t>MOLINA GARCES DAMARIS MIKAELA</t>
  </si>
  <si>
    <t>1754683157</t>
  </si>
  <si>
    <t>MUÑOZ PAZ FELIPE BENJAMIN</t>
  </si>
  <si>
    <t>0650351240</t>
  </si>
  <si>
    <t>NAULA YUCAILLA DEYSI EVELYN</t>
  </si>
  <si>
    <t>1755530100</t>
  </si>
  <si>
    <t>NUÑEZ CASTRO JONATHAN FELIPE</t>
  </si>
  <si>
    <t>1751500198</t>
  </si>
  <si>
    <t>PAGUAY CURCO DARWIN BLADIMIR</t>
  </si>
  <si>
    <t>1250157565</t>
  </si>
  <si>
    <t>PALACIOS ARANA LEODAN MISAEL</t>
  </si>
  <si>
    <t>1756113708</t>
  </si>
  <si>
    <t>PIEDRA FLORES GENESIS MICAELA</t>
  </si>
  <si>
    <t>1754713806</t>
  </si>
  <si>
    <t>ROCHINA MANOBANDA JHORDAN MOISES</t>
  </si>
  <si>
    <t>1729251825</t>
  </si>
  <si>
    <t>ROSERO VIZUETE GARY DARIAN</t>
  </si>
  <si>
    <t>1750676437</t>
  </si>
  <si>
    <t>RUIZ VALENCIA ASHLY MADELYNE</t>
  </si>
  <si>
    <t>1754074712</t>
  </si>
  <si>
    <t>SANCHEZ ROMERO DERECK JAIR</t>
  </si>
  <si>
    <t>1755205240</t>
  </si>
  <si>
    <t>SANGUCHO GUAMAN LADY TATIANA</t>
  </si>
  <si>
    <t>1751748128</t>
  </si>
  <si>
    <t>SINCHIGUANO VILLAPRADO GENESIS ALEJANDRA</t>
  </si>
  <si>
    <t>1751752724</t>
  </si>
  <si>
    <t>TAIPE GUARDERAS ANTHONY ISAAC</t>
  </si>
  <si>
    <t>1754968434</t>
  </si>
  <si>
    <t>VARGAS JIMENEZ CRISTINA ARACELY</t>
  </si>
  <si>
    <t>1105842007</t>
  </si>
  <si>
    <t>VERA VERA DENICE NICOLE</t>
  </si>
  <si>
    <t>1750529396</t>
  </si>
  <si>
    <t>ANTE GUACHAMIN ESTEFANY AYELEN</t>
  </si>
  <si>
    <t>1754870622</t>
  </si>
  <si>
    <t>BARRAGAN AREQUIPA ARIANNA JULLIETH</t>
  </si>
  <si>
    <t>1754939617</t>
  </si>
  <si>
    <t>BARRAGAN AROCA ADRIANA ELIZABETH</t>
  </si>
  <si>
    <t>1751323104</t>
  </si>
  <si>
    <t>BAZANTES BARRIONUEVO CAMILA SARAHI</t>
  </si>
  <si>
    <t>1751761048</t>
  </si>
  <si>
    <t>BAÑO CHASIBANDA KIMBERLLY KATHERINE</t>
  </si>
  <si>
    <t>1750278317</t>
  </si>
  <si>
    <t>CABRERA ZAMBRANO BRITHANY ALEXANDRA</t>
  </si>
  <si>
    <t>1726921537</t>
  </si>
  <si>
    <t>CATOTA REMACHE ANTHONY SEBASTIAN</t>
  </si>
  <si>
    <t>1755741467</t>
  </si>
  <si>
    <t>CHACHA NARANJO LIZBETH STEFANIA</t>
  </si>
  <si>
    <t>1728873231</t>
  </si>
  <si>
    <t>COELLO PILLAPAXI PAOLA AYLIN</t>
  </si>
  <si>
    <t>1754014528</t>
  </si>
  <si>
    <t>CORDOVA CORREA RENATA DANAE</t>
  </si>
  <si>
    <t>1751845254</t>
  </si>
  <si>
    <t>CUELLAR VILLAGOMEZ JOSEPH SEBASTIAN</t>
  </si>
  <si>
    <t>1728880590</t>
  </si>
  <si>
    <t>GAMARRA ZAMBRANO GIANELLA LIDUBEY</t>
  </si>
  <si>
    <t>1751834373</t>
  </si>
  <si>
    <t>GUANOTASIG GUERRON ERICK PAUL</t>
  </si>
  <si>
    <t>1756043590</t>
  </si>
  <si>
    <t>HERRERA DELEG PAUL ALEJANDRO</t>
  </si>
  <si>
    <t>1756144596</t>
  </si>
  <si>
    <t>JACOME BOSQUEZ ODALYS SAMANTHA</t>
  </si>
  <si>
    <t>1755832704</t>
  </si>
  <si>
    <t>LUTUALA LUTUALA NARCISA NATALIA</t>
  </si>
  <si>
    <t>1752574697</t>
  </si>
  <si>
    <t>MALAN CONDE BRENDA MARISOL</t>
  </si>
  <si>
    <t>1753043296</t>
  </si>
  <si>
    <t>MANTILLA SANGUÑA STEVEN XAVIER</t>
  </si>
  <si>
    <t>1754656021</t>
  </si>
  <si>
    <t>MOREIRA FLORES ANGIE TAHIS</t>
  </si>
  <si>
    <t>1728930882</t>
  </si>
  <si>
    <t>NOGUERA ARIAS ANDERSON MATEO</t>
  </si>
  <si>
    <t>1751824432</t>
  </si>
  <si>
    <t>NUÑEZ TITUAÑA EDDY MATEO</t>
  </si>
  <si>
    <t>1752736379</t>
  </si>
  <si>
    <t>OCHOA BARRERA GEOVANNY ISMAEL</t>
  </si>
  <si>
    <t>1750106252</t>
  </si>
  <si>
    <t>ORTIZ SINCHE MAYKEL VINICIO</t>
  </si>
  <si>
    <t>1752329712</t>
  </si>
  <si>
    <t>PARRAGA TOPA YURI BRIGITTE</t>
  </si>
  <si>
    <t>1754215695</t>
  </si>
  <si>
    <t>PEREIRA TIPAN NAOMI ESTEFANIA</t>
  </si>
  <si>
    <t>1750181487</t>
  </si>
  <si>
    <t>PILA BARAHONA THIARA ELITH</t>
  </si>
  <si>
    <t>1752137537</t>
  </si>
  <si>
    <t>RIOS AVILA ARIANA JAMILETH</t>
  </si>
  <si>
    <t>1753649464</t>
  </si>
  <si>
    <t>SALAZAR MARIN LINDA MAYERLI</t>
  </si>
  <si>
    <t>1751564558</t>
  </si>
  <si>
    <t>SANABRIA REA LIZBETH ABIGAIL</t>
  </si>
  <si>
    <t>1755520275</t>
  </si>
  <si>
    <t>SISA TANDALLA GERALD ALEXANDER</t>
  </si>
  <si>
    <t>1755315965</t>
  </si>
  <si>
    <t>TAPIA MOLINA MAYQUEL JOSUA</t>
  </si>
  <si>
    <t>1754046025</t>
  </si>
  <si>
    <t>TARCO PAREDES CAMILA ISABEL</t>
  </si>
  <si>
    <t>1751019777</t>
  </si>
  <si>
    <t>TERRAZA LEIVA ADAM DOMINIC</t>
  </si>
  <si>
    <t>1726667767</t>
  </si>
  <si>
    <t>TIMBILA CHICAIZA SEBASTIAN MATEO</t>
  </si>
  <si>
    <t>1752242113</t>
  </si>
  <si>
    <t>TOALA HOLGUIN DEYVI ARIEL</t>
  </si>
  <si>
    <t>1729348258</t>
  </si>
  <si>
    <t>VIZCAINO SALGUERO FRANCISCO JAVIER</t>
  </si>
  <si>
    <t>1753929742</t>
  </si>
  <si>
    <t>YANEZ PILLIZA DANIELA BELEN</t>
  </si>
  <si>
    <t>1753443595</t>
  </si>
  <si>
    <t>ZAMBRANO MARTINEZ JOSUE ALEXANDER</t>
  </si>
  <si>
    <t>1753555729</t>
  </si>
  <si>
    <t>ACEVEDO MELENDREZ DANIELA SELENA</t>
  </si>
  <si>
    <t>1755523212</t>
  </si>
  <si>
    <t>ARIAS ARIAS CINTHYA ELIZABETH</t>
  </si>
  <si>
    <t>1755399423</t>
  </si>
  <si>
    <t>AVALOS LOGROÑO MIGUEL ISAIAS</t>
  </si>
  <si>
    <t>1753951498</t>
  </si>
  <si>
    <t>BARRE MUÑOZ NATASHA GISSELL</t>
  </si>
  <si>
    <t>1752083939</t>
  </si>
  <si>
    <t>BOLAÑOS CHAVEZ VANESSA ALEJANDRA</t>
  </si>
  <si>
    <t>1755300298</t>
  </si>
  <si>
    <t>BONIFA PINARGOTE EMILY AILYN</t>
  </si>
  <si>
    <t>1751886159</t>
  </si>
  <si>
    <t>BONILLA BAJAÑA SERGI ORIOL</t>
  </si>
  <si>
    <t>1752511061</t>
  </si>
  <si>
    <t>CAISA CARRERA NAOMI ESTEFANIA</t>
  </si>
  <si>
    <t>1727218883</t>
  </si>
  <si>
    <t>CALDERON RUIZ STEFANIA DEL CISNE</t>
  </si>
  <si>
    <t>1751676105</t>
  </si>
  <si>
    <t>CHAMBA ZALDUMBIDE SOFIA RENATA</t>
  </si>
  <si>
    <t>1729429868</t>
  </si>
  <si>
    <t>COLLAGUAZO MOREIRA EMILY GISELLE</t>
  </si>
  <si>
    <t>1752184018</t>
  </si>
  <si>
    <t>COQUE ORTEGA DYLAN ALEXANDER</t>
  </si>
  <si>
    <t>1751734474</t>
  </si>
  <si>
    <t>CORDOVA MONTENEGRO YADIRA NISHERETH</t>
  </si>
  <si>
    <t>1728710946</t>
  </si>
  <si>
    <t>CUYO TOAQUIZA BLANCA ESTEFANIA</t>
  </si>
  <si>
    <t>1752270486</t>
  </si>
  <si>
    <t>GAVILEMA ALLAUCA ABIGAIL ESTEFANIA</t>
  </si>
  <si>
    <t>1729216661</t>
  </si>
  <si>
    <t>GORDILLO DELGADO JORDY JESUS</t>
  </si>
  <si>
    <t>1754178547</t>
  </si>
  <si>
    <t>GUZMAN MUESES YESSENIA ESMERALDA</t>
  </si>
  <si>
    <t>1753994969</t>
  </si>
  <si>
    <t>HERRERA VILLARREAL RASHELL SARAHI</t>
  </si>
  <si>
    <t>1751609312</t>
  </si>
  <si>
    <t>JARRIN VILLAFUERTE CARMEN ELIZABETH</t>
  </si>
  <si>
    <t>1754902730</t>
  </si>
  <si>
    <t>LARA VELA MATEUWS ALEJANDRO</t>
  </si>
  <si>
    <t>1753859113</t>
  </si>
  <si>
    <t>MANZANO CHICAIZA EMILY TISDALY</t>
  </si>
  <si>
    <t>1753474962</t>
  </si>
  <si>
    <t>MONTESDEOCA NIETO TANIA MONSERRATTE</t>
  </si>
  <si>
    <t>1754144259</t>
  </si>
  <si>
    <t>OLALLA CRUZ JOSABET MAELY</t>
  </si>
  <si>
    <t>1150000345</t>
  </si>
  <si>
    <t>ORTEGA TORRES COSTIN AZAHEL</t>
  </si>
  <si>
    <t>1729270155</t>
  </si>
  <si>
    <t>PADILLA CARRILLO MAYRA ELIZABETH</t>
  </si>
  <si>
    <t>1753089646</t>
  </si>
  <si>
    <t>PERALTA BENALCAZAR KEVIN ALEJANDRO</t>
  </si>
  <si>
    <t>1752471407</t>
  </si>
  <si>
    <t>PILAMUNGA QUILLUPANGUI KIMBERLY SAMANTHA</t>
  </si>
  <si>
    <t>1753425899</t>
  </si>
  <si>
    <t>PILATASIG FLORES SHEILA ANAHI</t>
  </si>
  <si>
    <t>1752513620</t>
  </si>
  <si>
    <t>PILATASIG QUINTEROS KATHERINE NOEMI</t>
  </si>
  <si>
    <t>0944052000</t>
  </si>
  <si>
    <t>RAMIREZ BRAND MARIA JOSE</t>
  </si>
  <si>
    <t>1752622751</t>
  </si>
  <si>
    <t>SANGOLUISA QUISHPE BRITHANY MAYERLIE</t>
  </si>
  <si>
    <t>1755226071</t>
  </si>
  <si>
    <t>SANGUCHO ZAMORA DIDIER PATRICIO</t>
  </si>
  <si>
    <t>1752849990</t>
  </si>
  <si>
    <t>SEGURA CALDERON ALICE ARIANNA</t>
  </si>
  <si>
    <t>1752301430</t>
  </si>
  <si>
    <t>TACO SANDOVAL MATIAS DANIEL</t>
  </si>
  <si>
    <t>1727060319</t>
  </si>
  <si>
    <t>TIPAN CEVALLOS DARWIN GENENDRY</t>
  </si>
  <si>
    <t>1753556891</t>
  </si>
  <si>
    <t>TIPAN PUJOTA BRYAN JOSUE</t>
  </si>
  <si>
    <t>1752199438</t>
  </si>
  <si>
    <t>TIXE CABAY JOEL SEBASTIAN</t>
  </si>
  <si>
    <t>1754108668</t>
  </si>
  <si>
    <t>USHIÑA LLAMUCA CHRISTOPHER LEONEL</t>
  </si>
  <si>
    <t>1754325122</t>
  </si>
  <si>
    <t>YEPEZ PAREDES CAMILA NICOLE</t>
  </si>
  <si>
    <t>1754473021</t>
  </si>
  <si>
    <t>YUGCHA ARIAS DAYANA NOEMI</t>
  </si>
  <si>
    <t>1755469804</t>
  </si>
  <si>
    <t>ALARCON BASANTES JOEL ALEJANDRO</t>
  </si>
  <si>
    <t>1727402065</t>
  </si>
  <si>
    <t>ARIAS MONTALVO ARIANNA ANTHONELA</t>
  </si>
  <si>
    <t>1754038071</t>
  </si>
  <si>
    <t>AYALA PILATASIG MELANNY ESTEFANIA</t>
  </si>
  <si>
    <t>1727648691</t>
  </si>
  <si>
    <t>CAMACHO SALCAN LESLIE DANIELA</t>
  </si>
  <si>
    <t>1754213021</t>
  </si>
  <si>
    <t>CASTRO CABRERA JENNIFER ABIGAIL</t>
  </si>
  <si>
    <t>1727062836</t>
  </si>
  <si>
    <t>CHALEN TORRES MATHIAS ALEJANDRO</t>
  </si>
  <si>
    <t>1755631338</t>
  </si>
  <si>
    <t>CHICAIZA QUINTEROS AYTANA ADAMARYS</t>
  </si>
  <si>
    <t>1755625272</t>
  </si>
  <si>
    <t>CORO MACAS DENILSON MOISES</t>
  </si>
  <si>
    <t>1751280502</t>
  </si>
  <si>
    <t>CUJILEMA YAUTIBUG JOSTIN FRANCISCO</t>
  </si>
  <si>
    <t>1755957410</t>
  </si>
  <si>
    <t>DEL CASTILLO ESPINOZA JOSE DANIEL</t>
  </si>
  <si>
    <t>1754642559</t>
  </si>
  <si>
    <t>DIBUJES JAILACA GENESIS SAMANTHA</t>
  </si>
  <si>
    <t>1755215413</t>
  </si>
  <si>
    <t>GALLO CAJAMARCA LIZBETH ANAHI</t>
  </si>
  <si>
    <t>1150794434</t>
  </si>
  <si>
    <t>GRANDA GUADAMUD SAMANTHA JAMILETH</t>
  </si>
  <si>
    <t>1755994181</t>
  </si>
  <si>
    <t>GUALOTUÑA TIXE EMELY LIZBETH</t>
  </si>
  <si>
    <t>1755684360</t>
  </si>
  <si>
    <t>GUERRA SANCHEZ DIEGO ISMAEL</t>
  </si>
  <si>
    <t>1752733251</t>
  </si>
  <si>
    <t>ILAQUICHE VEGA KEVIN JOEL</t>
  </si>
  <si>
    <t>1755949748</t>
  </si>
  <si>
    <t>LOPEZ RECALDE TAIS CRYSTABEL</t>
  </si>
  <si>
    <t>1751728989</t>
  </si>
  <si>
    <t>MORALES LANDAZURI MATHIAS RENATO</t>
  </si>
  <si>
    <t>1755261573</t>
  </si>
  <si>
    <t>OÑATE NEGRETE CAMILA FABIANA</t>
  </si>
  <si>
    <t>1754024337</t>
  </si>
  <si>
    <t>PILATASIG AYALA JENNIFER ISAURA</t>
  </si>
  <si>
    <t>1753144003</t>
  </si>
  <si>
    <t>PILLIZA PADILLA JOSSELYN STEPHANIA</t>
  </si>
  <si>
    <t>1751878669</t>
  </si>
  <si>
    <t>PONCE SALAZAR FREDDY ARIEL</t>
  </si>
  <si>
    <t>1755312905</t>
  </si>
  <si>
    <t>PROAÑO MARCILLO BARBARA ANGELIKY</t>
  </si>
  <si>
    <t>1755154661</t>
  </si>
  <si>
    <t>REYES MUÑOZ CAMILA MAYTE</t>
  </si>
  <si>
    <t>1754979555</t>
  </si>
  <si>
    <t>ROSADO GUERRA DANTE MAXIMILIANO</t>
  </si>
  <si>
    <t>1754086492</t>
  </si>
  <si>
    <t>SORIA CASTELLANO ALISON POLETH</t>
  </si>
  <si>
    <t>1755633714</t>
  </si>
  <si>
    <t>TAIPE VILLAGOMEZ SHIRLEY MAYLI</t>
  </si>
  <si>
    <t>1750000026</t>
  </si>
  <si>
    <t>TAPIA BAYAS DAMARIS DALEZKA</t>
  </si>
  <si>
    <t>1751832245</t>
  </si>
  <si>
    <t>TOAQUIZA GUASHPA EMILIO NICOLAS</t>
  </si>
  <si>
    <t>1728810597</t>
  </si>
  <si>
    <t>URREA RAMIREZ JASON ISAAC</t>
  </si>
  <si>
    <t>1726796798</t>
  </si>
  <si>
    <t>VARGAS GUAMAN MATHIAS PATRICIO</t>
  </si>
  <si>
    <t>1752704419</t>
  </si>
  <si>
    <t>VIQUE BONILLA EMILIA KATHERINE</t>
  </si>
  <si>
    <t>1754268538</t>
  </si>
  <si>
    <t>YANEZ FUENTES ANDREY ESTEFANO</t>
  </si>
  <si>
    <t>0250028495</t>
  </si>
  <si>
    <t>YANSAGUANO QUINALOA DERLIS NOREL</t>
  </si>
  <si>
    <t>1751117720</t>
  </si>
  <si>
    <t>ZUÑIGA CHALCO KERLY SAMANTHA</t>
  </si>
  <si>
    <t>1754532917</t>
  </si>
  <si>
    <t>AGUAGALLO CASTILLO JOSUE SEBASTIAN</t>
  </si>
  <si>
    <t>0550174296</t>
  </si>
  <si>
    <t>ATABALLO ENDARA LESLY NOEMI</t>
  </si>
  <si>
    <t>1751862309</t>
  </si>
  <si>
    <t>AZOGUE VILLACRES ALEJANDRA ABIGAIL</t>
  </si>
  <si>
    <t>1752022184</t>
  </si>
  <si>
    <t>BURBANO IBAÑEZ ALEXANDER ISAAC</t>
  </si>
  <si>
    <t>1755274113</t>
  </si>
  <si>
    <t>BUSTAMANTE BASTIDAS DAMARIS BETZABE</t>
  </si>
  <si>
    <t>1752673317</t>
  </si>
  <si>
    <t>CANTUÑA SANTAFE CRISTINA IBETHE</t>
  </si>
  <si>
    <t>1753990470</t>
  </si>
  <si>
    <t>CASHUG HIPO SANDY VANESSA</t>
  </si>
  <si>
    <t>1753141546</t>
  </si>
  <si>
    <t>CEPEDA CAIN ANDY JHOEL</t>
  </si>
  <si>
    <t>1750594507</t>
  </si>
  <si>
    <t>CHANCUSIG AGUIRRE JOEL VINICIO</t>
  </si>
  <si>
    <t>1751624436</t>
  </si>
  <si>
    <t>CORTEZ PEREIRA DOMENICA MILENA</t>
  </si>
  <si>
    <t>1752769446</t>
  </si>
  <si>
    <t>FLORES BAQUE ANDREA CAROLINA</t>
  </si>
  <si>
    <t>1753167350</t>
  </si>
  <si>
    <t>GALLARDO DOMINGUEZ AYLEEN VALENTINA</t>
  </si>
  <si>
    <t>1750404095</t>
  </si>
  <si>
    <t>GARCIA VIVEROS EMILY ANAHI</t>
  </si>
  <si>
    <t>1752370807</t>
  </si>
  <si>
    <t>GUALPA PEREZ NAOMI BETZABETH</t>
  </si>
  <si>
    <t>1729092435</t>
  </si>
  <si>
    <t>JAMI CASA LIZBETH ANAHI</t>
  </si>
  <si>
    <t>1754123824</t>
  </si>
  <si>
    <t>LEIVA TIERRA EMILY SAMANTA</t>
  </si>
  <si>
    <t>1753615622</t>
  </si>
  <si>
    <t>LLANO PILA ISMAEL ALEJANDRO</t>
  </si>
  <si>
    <t>1755254933</t>
  </si>
  <si>
    <t>LLANO TOAQUIZA KAREN ANAHY</t>
  </si>
  <si>
    <t>1729256808</t>
  </si>
  <si>
    <t>MACIAS REYES KIMBERLY SARAHI</t>
  </si>
  <si>
    <t>1755647789</t>
  </si>
  <si>
    <t>MORENO NASTACUAS DIANA FERNANDA</t>
  </si>
  <si>
    <t>1752730570</t>
  </si>
  <si>
    <t>MOSQUERA QUISHPE ANDY PAUL</t>
  </si>
  <si>
    <t>1754168878</t>
  </si>
  <si>
    <t>PAEZ MACHADO KEILA DANAE</t>
  </si>
  <si>
    <t>1754334231</t>
  </si>
  <si>
    <t>PALTAN NAULA JEFERSON BLADIMIR</t>
  </si>
  <si>
    <t>0706594207</t>
  </si>
  <si>
    <t>PAREJA DUARTE ISAAC ROBERTO</t>
  </si>
  <si>
    <t>1753994332</t>
  </si>
  <si>
    <t>PILATAXI SAMBACHE KAREN EMILIA</t>
  </si>
  <si>
    <t>1752219798</t>
  </si>
  <si>
    <t>POZO FLORES JORDAN ALEXANDER</t>
  </si>
  <si>
    <t>1751752005</t>
  </si>
  <si>
    <t>PROAÑO GUAMANQUISPE JOSSUE PATRICIO</t>
  </si>
  <si>
    <t>1751743723</t>
  </si>
  <si>
    <t>QUIMI ALAY JEILLER ALEJANDRO</t>
  </si>
  <si>
    <t>1752836484</t>
  </si>
  <si>
    <t>ROCHINA ASIMBAYA ALISSON ANAHI</t>
  </si>
  <si>
    <t>1755484811</t>
  </si>
  <si>
    <t>SANGUÑA BURBANO SOLANGE LISSETTE</t>
  </si>
  <si>
    <t>1727013730</t>
  </si>
  <si>
    <t>TAIMAL DOICELA ISAI LEONEL</t>
  </si>
  <si>
    <t>1752532273</t>
  </si>
  <si>
    <t>TOAPANTA TEGEDOR DAYANA MICAELA</t>
  </si>
  <si>
    <t>1753221686</t>
  </si>
  <si>
    <t>TOAPANTA VACA LAYLA RENATA</t>
  </si>
  <si>
    <t>1753870540</t>
  </si>
  <si>
    <t>TOAQUISA ARIAS MARILYN ANAHI</t>
  </si>
  <si>
    <t>1752357374</t>
  </si>
  <si>
    <t>VACA CATAGUA JOSTIN ALBERTO</t>
  </si>
  <si>
    <t>1752046126</t>
  </si>
  <si>
    <t>VASCO VALERO EMILY JORDANA</t>
  </si>
  <si>
    <t>1753556628</t>
  </si>
  <si>
    <t>VERA MUELA DANIEL ANDRES</t>
  </si>
  <si>
    <t>1750370973</t>
  </si>
  <si>
    <t>ZACARIAS LUNA AILEEN VICTORIA</t>
  </si>
  <si>
    <t>1754383543</t>
  </si>
  <si>
    <t>ANDRADE ANCHUNDIA KATRIN NICOLE</t>
  </si>
  <si>
    <t>1755373394</t>
  </si>
  <si>
    <t>BONILLA GUASHPA PAOLA ANAHY</t>
  </si>
  <si>
    <t>1754100889</t>
  </si>
  <si>
    <t>CASIGÑA POMA DAVID SEBASTIAN</t>
  </si>
  <si>
    <t>1753123775</t>
  </si>
  <si>
    <t>CAZARES REINOSO DOMENICA BRIGITE</t>
  </si>
  <si>
    <t>1754899233</t>
  </si>
  <si>
    <t>CHACON RUEDA MIKAELA ELIZABETH</t>
  </si>
  <si>
    <t>1753370228</t>
  </si>
  <si>
    <t>CHAVEZ ARELLANO BRAD ALEJANDRO</t>
  </si>
  <si>
    <t>1728554781</t>
  </si>
  <si>
    <t>GARZON GARCIA ERICK LEONARDO</t>
  </si>
  <si>
    <t>1750227207</t>
  </si>
  <si>
    <t>GUILLEN DIAZ DENISSE ALEJANDRA</t>
  </si>
  <si>
    <t>1750159863</t>
  </si>
  <si>
    <t>LLERENA DE LA TORRE JETZABEL YOLANDA</t>
  </si>
  <si>
    <t>1750213694</t>
  </si>
  <si>
    <t>LUISA DAMACELA YEREMI JAHIR</t>
  </si>
  <si>
    <t>1751725498</t>
  </si>
  <si>
    <t>LUNA AGUIRRE DAMARIS MILENA</t>
  </si>
  <si>
    <t>1751719236</t>
  </si>
  <si>
    <t>MARTINEZ REMACHE ANGHELA DAMARYS</t>
  </si>
  <si>
    <t>1754737896</t>
  </si>
  <si>
    <t>MENA SANCHEZ CAMILA VALENTINA</t>
  </si>
  <si>
    <t>1754066460</t>
  </si>
  <si>
    <t>MOLINA GUAMAN DAMARIS BELEN</t>
  </si>
  <si>
    <t>1755412903</t>
  </si>
  <si>
    <t>MUÑOZ DOMINGUEZ YULIETH TAYRA</t>
  </si>
  <si>
    <t>1754776522</t>
  </si>
  <si>
    <t>PILAMUNGA CHICAIZA ANDY ALEXANDER</t>
  </si>
  <si>
    <t>1754682795</t>
  </si>
  <si>
    <t>1754603551</t>
  </si>
  <si>
    <t>PUERO VILLACRES ANALIA AURORA</t>
  </si>
  <si>
    <t>1751946516</t>
  </si>
  <si>
    <t>QUIMBITA ARCE ALAN JAIR</t>
  </si>
  <si>
    <t>1754368072</t>
  </si>
  <si>
    <t>QUISILEMA CALAHORRANO MATIAS</t>
  </si>
  <si>
    <t>1752885507</t>
  </si>
  <si>
    <t>QUITO TOAQUIZA TABATA MALU</t>
  </si>
  <si>
    <t>1754470860</t>
  </si>
  <si>
    <t>RAMOS TORRES FERNANDA MICAELA</t>
  </si>
  <si>
    <t>1755637400</t>
  </si>
  <si>
    <t>RIZZO MURILLO JUAN MARTIN</t>
  </si>
  <si>
    <t>1754254603</t>
  </si>
  <si>
    <t>SALVADOR MARTINEZ DANIEL MAURICIO</t>
  </si>
  <si>
    <t>1729071876</t>
  </si>
  <si>
    <t>1756057426</t>
  </si>
  <si>
    <t>SILLO SARABIA FERNANDA YAMILETH</t>
  </si>
  <si>
    <t>1751764117</t>
  </si>
  <si>
    <t>TONATO FERNANDEZ KERLY SARAHI</t>
  </si>
  <si>
    <t>1753947694</t>
  </si>
  <si>
    <t>VALDEZ TENE ALAN JOSUE</t>
  </si>
  <si>
    <t>1752494771</t>
  </si>
  <si>
    <t>1729258002</t>
  </si>
  <si>
    <t>YARANGA GUALOTUÑA KENNY THAIS</t>
  </si>
  <si>
    <t>1753825155</t>
  </si>
  <si>
    <t>1750336966</t>
  </si>
  <si>
    <t>ARAUZ SILVA ENZO FRANCESCO</t>
  </si>
  <si>
    <t>1751812551</t>
  </si>
  <si>
    <t>ASIPUELA PASTRANO EMILY STACEY</t>
  </si>
  <si>
    <t>1752554145</t>
  </si>
  <si>
    <t>BURGASI NARANJO SARAHI ANELASSE</t>
  </si>
  <si>
    <t>1752787190</t>
  </si>
  <si>
    <t>CAZA PACAJI BRITHANY THAIS</t>
  </si>
  <si>
    <t>1729079903</t>
  </si>
  <si>
    <t>CAÑIN TAMAYO MATEO DAVID</t>
  </si>
  <si>
    <t>1729212611</t>
  </si>
  <si>
    <t>CHICAZ LOPEZ LUIS SEBASTIAN</t>
  </si>
  <si>
    <t>1754315792</t>
  </si>
  <si>
    <t>CHITUPANTA PALOMO EVELYN MAYTE</t>
  </si>
  <si>
    <t>1751315704</t>
  </si>
  <si>
    <t>GARCIA ASTUDILLO EMILY NICOLE</t>
  </si>
  <si>
    <t>0250261849</t>
  </si>
  <si>
    <t>GARCIA AUCATOMA NAOMI REBECA</t>
  </si>
  <si>
    <t>1755318886</t>
  </si>
  <si>
    <t>GUEVARA VITERI AMELIA FABIANA</t>
  </si>
  <si>
    <t>1750081281</t>
  </si>
  <si>
    <t>HIDALGO OLALLA ALEXA SARAHI</t>
  </si>
  <si>
    <t>1728327295</t>
  </si>
  <si>
    <t>IBARRA ESPIN ALAN STIF</t>
  </si>
  <si>
    <t>1751980226</t>
  </si>
  <si>
    <t>LOACHAMIN CHAVEZ NAOMI JEAMILETH</t>
  </si>
  <si>
    <t>1751369768</t>
  </si>
  <si>
    <t>MARTINEZ AVEIGA ALBITA LISBETH</t>
  </si>
  <si>
    <t>1729049476</t>
  </si>
  <si>
    <t>MEJIA ECHEVERRIA MAYRA SARAHI</t>
  </si>
  <si>
    <t>1728959469</t>
  </si>
  <si>
    <t>MENDOZA ANDRADE VALERIA MIKAELA</t>
  </si>
  <si>
    <t>1754948261</t>
  </si>
  <si>
    <t>MORALES QUITO EDISON PAUL</t>
  </si>
  <si>
    <t>1754041059</t>
  </si>
  <si>
    <t>NAGUA MACAS ERICK JOSUE</t>
  </si>
  <si>
    <t>1752302107</t>
  </si>
  <si>
    <t>PABON GUAMANZARA KARLA ANABEL</t>
  </si>
  <si>
    <t>1752655207</t>
  </si>
  <si>
    <t>PILATAXI CHICAIZA NATASHA LIZETH</t>
  </si>
  <si>
    <t>1753822707</t>
  </si>
  <si>
    <t>PUCHAICELA CONSTANTE NATHALY SOFIA</t>
  </si>
  <si>
    <t>1751996974</t>
  </si>
  <si>
    <t>QUEVEDO RIOFRIO ADONIS JOSHUE</t>
  </si>
  <si>
    <t>1753421096</t>
  </si>
  <si>
    <t>RIOFRIO BENITEZ EMILIA FERNANDA</t>
  </si>
  <si>
    <t>1751023084</t>
  </si>
  <si>
    <t>RUIZ CABEZAS YARETH ANAHIS</t>
  </si>
  <si>
    <t>1754392817</t>
  </si>
  <si>
    <t>TOVAR PACHECO GEOVANNY NICOLAS</t>
  </si>
  <si>
    <t>1755784350</t>
  </si>
  <si>
    <t>UNTUÑA RIVERA BRITANY ANAHI</t>
  </si>
  <si>
    <t>1753548740</t>
  </si>
  <si>
    <t>VALLADARES SARANSIG MEGGAN NAOMI</t>
  </si>
  <si>
    <t>1728727932</t>
  </si>
  <si>
    <t>VASQUEZ MORALES GIANT MATHEW</t>
  </si>
  <si>
    <t>1755768585</t>
  </si>
  <si>
    <t>VELASCO ANDRADE SEBASTIAN ARIEL</t>
  </si>
  <si>
    <t>1754648200</t>
  </si>
  <si>
    <t>ZAMBRANO GAMEZ EDUARDO JANDEL</t>
  </si>
  <si>
    <t>1751728948</t>
  </si>
  <si>
    <t>ACARO LEMA ARELIS JUDITH</t>
  </si>
  <si>
    <t>1755236716</t>
  </si>
  <si>
    <t>ACHIG DIAZ KIMBERLY ALEXANDRA</t>
  </si>
  <si>
    <t>1727005033</t>
  </si>
  <si>
    <t>ALMACHI NARANJO JEFRY JOEL</t>
  </si>
  <si>
    <t>1755427596</t>
  </si>
  <si>
    <t>AYALA BARRENO DAIRA VALENTINA</t>
  </si>
  <si>
    <t>1755535877</t>
  </si>
  <si>
    <t>BALAREZO HEREDIA CRISTOFER GUILLERMO</t>
  </si>
  <si>
    <t>1754940995</t>
  </si>
  <si>
    <t>CADENA ATACUSHI MATEO JOEL</t>
  </si>
  <si>
    <t>0804247740</t>
  </si>
  <si>
    <t>CAJAS RODRIGUEZ HANNA JENNEL</t>
  </si>
  <si>
    <t>1750042762</t>
  </si>
  <si>
    <t>CAMPOVERDE SARANGO MELANY MICAELA</t>
  </si>
  <si>
    <t>1756110696</t>
  </si>
  <si>
    <t>CEPEDA GUAPI MEDERLY MAYERLY</t>
  </si>
  <si>
    <t>1755418223</t>
  </si>
  <si>
    <t>CEVALLOS TOBAR KAREN POLETH</t>
  </si>
  <si>
    <t>1727926915</t>
  </si>
  <si>
    <t>CHALCO BRAVO ADONIS JAVIER</t>
  </si>
  <si>
    <t>1751886324</t>
  </si>
  <si>
    <t>CHANGO MAYGUA DEYVID PATRICIO</t>
  </si>
  <si>
    <t>1753058252</t>
  </si>
  <si>
    <t>CHILES YUGSI GIANELLA NICOLE</t>
  </si>
  <si>
    <t>1729211571</t>
  </si>
  <si>
    <t>CHILLAGANA YAUQUI LUIS ALEXANDER</t>
  </si>
  <si>
    <t>1752405512</t>
  </si>
  <si>
    <t>CORONEL SILVA VALERIA ANALIA</t>
  </si>
  <si>
    <t>1753567393</t>
  </si>
  <si>
    <t>GUANOQUIZA GUANULEMA SHIRLEY NICOLE</t>
  </si>
  <si>
    <t>1751858463</t>
  </si>
  <si>
    <t>GUZMAN ALVAREZ ALEXIA MIKAELA</t>
  </si>
  <si>
    <t>1755079819</t>
  </si>
  <si>
    <t>HERRERA QUINTERO JEREMY ALEJANDRO</t>
  </si>
  <si>
    <t>1755254875</t>
  </si>
  <si>
    <t>MASABANDA QUINFIA EMILY DANIELA</t>
  </si>
  <si>
    <t>1753642527</t>
  </si>
  <si>
    <t>MESIAS BARRERA MARIA JOSE</t>
  </si>
  <si>
    <t>1728963248</t>
  </si>
  <si>
    <t>MINTA GAONA ANGEL DARIO</t>
  </si>
  <si>
    <t>1753730330</t>
  </si>
  <si>
    <t>NARANJO AMAN MILENA ESTEFANIA</t>
  </si>
  <si>
    <t>1755089032</t>
  </si>
  <si>
    <t>PAEZ AMORES EMILIO DANIEL</t>
  </si>
  <si>
    <t>1752733533</t>
  </si>
  <si>
    <t>PALACIOS SALINAS PAMELA MONSERRATE</t>
  </si>
  <si>
    <t>1751370345</t>
  </si>
  <si>
    <t>PALLO MATAMOROS RONALD JHAYR</t>
  </si>
  <si>
    <t>1755737655</t>
  </si>
  <si>
    <t>PARDO TORRES ADRIANA MAITE</t>
  </si>
  <si>
    <t>1729049724</t>
  </si>
  <si>
    <t>QUISHPE CANDO LEANDRO ISMAEL</t>
  </si>
  <si>
    <t>1805167986</t>
  </si>
  <si>
    <t>REYES VALLE ELKIN RICHELIEU</t>
  </si>
  <si>
    <t>1756083679</t>
  </si>
  <si>
    <t>RIOS GUAMAN JOSUA ALEJANDRO</t>
  </si>
  <si>
    <t>1755110937</t>
  </si>
  <si>
    <t>RODRIGUEZ CARTAGENA KERLY MISHEL</t>
  </si>
  <si>
    <t>1756061121</t>
  </si>
  <si>
    <t>RONQUILLO NAZATE JENNIFER ANALIA</t>
  </si>
  <si>
    <t>1754215349</t>
  </si>
  <si>
    <t>RUIZ CHAVEZ MATEO SALVADOR</t>
  </si>
  <si>
    <t>1755711833</t>
  </si>
  <si>
    <t>TENELEMA TUAPANTA LESLIE ARACELLY</t>
  </si>
  <si>
    <t>1750101311</t>
  </si>
  <si>
    <t>TIPAN CEVALLOS WILLIAMS ISRAEL</t>
  </si>
  <si>
    <t>1752863819</t>
  </si>
  <si>
    <t>URGILES SANTAFE CRISTOPHER DARIO</t>
  </si>
  <si>
    <t>1316169760</t>
  </si>
  <si>
    <t>VASQUEZ GARCIA JOSHUAN ALEXANDER</t>
  </si>
  <si>
    <t>1752606176</t>
  </si>
  <si>
    <t>VELOZ VERA ARIANA SALOME</t>
  </si>
  <si>
    <t>1728805506</t>
  </si>
  <si>
    <t>VINUEZA YEPEZ SARAI ALEJANDRA</t>
  </si>
  <si>
    <t>1754912374</t>
  </si>
  <si>
    <t>YANEZ CORNEJO MADELAINE ARELIS</t>
  </si>
  <si>
    <t>3ERO BACHILLERATO,Técnico - Contabilidad</t>
  </si>
  <si>
    <t>1753436524</t>
  </si>
  <si>
    <t>ACAN CUENCA JERREMY DANY</t>
  </si>
  <si>
    <t>1753648201</t>
  </si>
  <si>
    <t>AGUACUNCHI AZOGUE EBONY GISELA</t>
  </si>
  <si>
    <t>1752109833</t>
  </si>
  <si>
    <t>BUSTILLOS GUANO AMY MARCELA</t>
  </si>
  <si>
    <t>0650231988</t>
  </si>
  <si>
    <t>CABEZAS FLORES NATALY ALEJANDRA</t>
  </si>
  <si>
    <t>1727458430</t>
  </si>
  <si>
    <t>CANSIGNIA HERRERA SAMANTHA MAITE</t>
  </si>
  <si>
    <t>1753679032</t>
  </si>
  <si>
    <t>COELLO SANTAMARIA ERICK LEONARDO</t>
  </si>
  <si>
    <t>1756129399</t>
  </si>
  <si>
    <t>CONDO TENE ARIEL JOEL</t>
  </si>
  <si>
    <t>1751235266</t>
  </si>
  <si>
    <t>CORDOVA JIMBO ELIANNE ANAHI</t>
  </si>
  <si>
    <t>1750363259</t>
  </si>
  <si>
    <t>CRIOLLO BUSTOS ADRIANA ALEXANDRA</t>
  </si>
  <si>
    <t>1752336907</t>
  </si>
  <si>
    <t>CUENCA RUMIPAMBA KRISTEL YASLENE</t>
  </si>
  <si>
    <t>1751814078</t>
  </si>
  <si>
    <t>CUSME QUILLUPANGUI MATEO ALEXANDER</t>
  </si>
  <si>
    <t>1752368363</t>
  </si>
  <si>
    <t>ESTRADA CARRION DENNIS GABRIEL</t>
  </si>
  <si>
    <t>1754161824</t>
  </si>
  <si>
    <t>ESTRELLA QUISHPE VALENTINA SALOME</t>
  </si>
  <si>
    <t>1754030755</t>
  </si>
  <si>
    <t>FREIRE CANDO MARSHURI LISBETH</t>
  </si>
  <si>
    <t>1750255893</t>
  </si>
  <si>
    <t>GARCIA FERNANDEZ ANTHONY JOSUE</t>
  </si>
  <si>
    <t>1750373852</t>
  </si>
  <si>
    <t>GUAMANI CUYO MARILIN NICOL</t>
  </si>
  <si>
    <t>1729124253</t>
  </si>
  <si>
    <t>GUERRERO ROMERO EMILY JACQUELIN</t>
  </si>
  <si>
    <t>1752496149</t>
  </si>
  <si>
    <t>HERRERA REYES JOHAN JAIR</t>
  </si>
  <si>
    <t>1750704098</t>
  </si>
  <si>
    <t>LANDETA HERRERA YASURI BRIGITH</t>
  </si>
  <si>
    <t>1755527700</t>
  </si>
  <si>
    <t>LOPEZ VALENCIA LESLY NAHOMI</t>
  </si>
  <si>
    <t>1755248430</t>
  </si>
  <si>
    <t>MORAN HERRERA PAOLA PATRICIA</t>
  </si>
  <si>
    <t>1751832021</t>
  </si>
  <si>
    <t>OÑA GUALOTO NAYELI SHIRLEY</t>
  </si>
  <si>
    <t>1750171348</t>
  </si>
  <si>
    <t>PEREZ LLUMIGUANO DOMENICA PAOLETH</t>
  </si>
  <si>
    <t>1753185972</t>
  </si>
  <si>
    <t>QUISHPE HERRERA EMILY VALENTINA</t>
  </si>
  <si>
    <t>1750950295</t>
  </si>
  <si>
    <t>ROSARIO TORRES ISAAC BENJAMIN</t>
  </si>
  <si>
    <t>1752185965</t>
  </si>
  <si>
    <t>ROSERO CAIZA MATEO SEBASTIAN</t>
  </si>
  <si>
    <t>1753509502</t>
  </si>
  <si>
    <t>ROSILLO QUINATOA JEFFRY STALIN</t>
  </si>
  <si>
    <t>1751022573</t>
  </si>
  <si>
    <t>SANCHEZ UNDA JUAN FERNANDO</t>
  </si>
  <si>
    <t>1753608239</t>
  </si>
  <si>
    <t>SANGUANO GUAMANQUISPE MATHIAS ANDRES</t>
  </si>
  <si>
    <t>1750007856</t>
  </si>
  <si>
    <t>TACO GUAMAN JENNIFER ALEXANDRA</t>
  </si>
  <si>
    <t>0550157689</t>
  </si>
  <si>
    <t>TENEMAZA GUAMAN KERLY ABIGAIL</t>
  </si>
  <si>
    <t>1727088120</t>
  </si>
  <si>
    <t>TERAN PEREZ DERECK EDUARDO</t>
  </si>
  <si>
    <t>1755877352</t>
  </si>
  <si>
    <t>TITUAÑA MORALES JEICKOL ALEXIS</t>
  </si>
  <si>
    <t>1753420734</t>
  </si>
  <si>
    <t>VARGAS TOAPANTA DOMENICA CRISTINA</t>
  </si>
  <si>
    <t>1753992963</t>
  </si>
  <si>
    <t>VAZQUEZ CARCHICHABLA ANDERSON JAVIER</t>
  </si>
  <si>
    <t>1754470589</t>
  </si>
  <si>
    <t>BURI CEDEÑO MAYKEL SMITH</t>
  </si>
  <si>
    <t>1729481711</t>
  </si>
  <si>
    <t>CAÑAR CAJILEMA AARON LENIN</t>
  </si>
  <si>
    <t>1754062667</t>
  </si>
  <si>
    <t>CHANGO CHICAIZA MAYTE ESTEFANIA</t>
  </si>
  <si>
    <t>1750000109</t>
  </si>
  <si>
    <t>CHULDE AGUIAR MATTHEWS ALEJANDRO</t>
  </si>
  <si>
    <t>1750629360</t>
  </si>
  <si>
    <t>CHULDE RODRIGUEZ CRISTOFER DAMIAN</t>
  </si>
  <si>
    <t>1728975911</t>
  </si>
  <si>
    <t>CUJILEMA GUANOLUISA DINNA JHOMAYRA</t>
  </si>
  <si>
    <t>1750670299</t>
  </si>
  <si>
    <t>ESPINOZA PEREZ EIDAN MATHIAS</t>
  </si>
  <si>
    <t>1753133188</t>
  </si>
  <si>
    <t>ESTEVEZ CASTRO CARLOS ISMAEL</t>
  </si>
  <si>
    <t>1752105666</t>
  </si>
  <si>
    <t>HERRERA MERCHAN SOFIA ANAHI</t>
  </si>
  <si>
    <t>1753953379</t>
  </si>
  <si>
    <t>IBARRA REYES ALEXIS FERNANDO</t>
  </si>
  <si>
    <t>1756133680</t>
  </si>
  <si>
    <t>LASSO YANEZ YULIANA CAROLINA</t>
  </si>
  <si>
    <t>1753762952</t>
  </si>
  <si>
    <t>LEMA YUGCHA DAMARIS ALEJANDRA</t>
  </si>
  <si>
    <t>1752334449</t>
  </si>
  <si>
    <t>LLUCO PAZA ELIZABETH MARIBEL</t>
  </si>
  <si>
    <t>1729127843</t>
  </si>
  <si>
    <t>LOGACHO CHILUISA ALISON ALEXANDRA</t>
  </si>
  <si>
    <t>1750218636</t>
  </si>
  <si>
    <t>MARTINEZ BRAVO JUAN DAVID</t>
  </si>
  <si>
    <t>1755563648</t>
  </si>
  <si>
    <t>MEDRANO ESTRADA EMILY SAMANTHA</t>
  </si>
  <si>
    <t>1752315679</t>
  </si>
  <si>
    <t>NAULA LOJANO ADRIANA BELEN</t>
  </si>
  <si>
    <t>1750462309</t>
  </si>
  <si>
    <t>ORTEGA ALBAN MAYLI MILENA</t>
  </si>
  <si>
    <t>1750472365</t>
  </si>
  <si>
    <t>OÑATE ESPINOZA AINHOA CORINA</t>
  </si>
  <si>
    <t>1754021408</t>
  </si>
  <si>
    <t>PAEZ SOLIS MATEO ISRAEL</t>
  </si>
  <si>
    <t>1752645117</t>
  </si>
  <si>
    <t>PAREDES CHANCUSIG DAIRA ANAHI</t>
  </si>
  <si>
    <t>1750133231</t>
  </si>
  <si>
    <t>PAREDES CUVERO CARLA BRIGITH</t>
  </si>
  <si>
    <t>0550415970</t>
  </si>
  <si>
    <t>PASTUÑA GUAMANGATE ERICK JOSUE</t>
  </si>
  <si>
    <t>1751838283</t>
  </si>
  <si>
    <t>PEREZ DOMINGUEZ ASHLEY SOLANGE</t>
  </si>
  <si>
    <t>2450774282</t>
  </si>
  <si>
    <t>PEREZ VALENCIA BYRON FABRICIO</t>
  </si>
  <si>
    <t>1729305118</t>
  </si>
  <si>
    <t>QUITO GUAMAN LENIN NEMIAS</t>
  </si>
  <si>
    <t>1004820591</t>
  </si>
  <si>
    <t>RIVERA QUELAL SIOMARA ELIZABETH</t>
  </si>
  <si>
    <t>1750004382</t>
  </si>
  <si>
    <t>VALENCIA GUERRERO CRISTIAN ARON</t>
  </si>
  <si>
    <t>1751578921</t>
  </si>
  <si>
    <t>VARELA MUELA CRISTOFER STIVEN</t>
  </si>
  <si>
    <t>1754945523</t>
  </si>
  <si>
    <t>VASQUEZ MORALES STEVEN JOEL</t>
  </si>
  <si>
    <t>1753975505</t>
  </si>
  <si>
    <t>VICHICELA SANIPATIN KIMBERLY JORDANA</t>
  </si>
  <si>
    <t>1753704335</t>
  </si>
  <si>
    <t>VICHICELA SANIPATIN KRISTOFER ALEXIS</t>
  </si>
  <si>
    <t>1750352021</t>
  </si>
  <si>
    <t>VILLALOBOS AYALA JOSE DANIEL</t>
  </si>
  <si>
    <t>1754880720</t>
  </si>
  <si>
    <t>VILLARROEL ANDRANGO MELANY DAYANNA</t>
  </si>
  <si>
    <t>1750006155</t>
  </si>
  <si>
    <t>ZARI OROZCO GENESIS MAITE</t>
  </si>
  <si>
    <t xml:space="preserve">3ERO BACHILLERATO Técnico - Comercialización y Ventas </t>
  </si>
  <si>
    <t>1755633805</t>
  </si>
  <si>
    <t>AGUIRRE ZUMBA MAYTE SOLANGE</t>
  </si>
  <si>
    <t>1753868700</t>
  </si>
  <si>
    <t>ANDRADE GARCIA ADRIAN BENJAMIN</t>
  </si>
  <si>
    <t>0931208862</t>
  </si>
  <si>
    <t>ARIAS ESTRADA DANIELA</t>
  </si>
  <si>
    <t>1751076108</t>
  </si>
  <si>
    <t>CAIZA PIAUN BELINDA ABIGAHIL</t>
  </si>
  <si>
    <t>1729155778</t>
  </si>
  <si>
    <t>CALDERON BERMEO DIANA LIZETH</t>
  </si>
  <si>
    <t>1753221678</t>
  </si>
  <si>
    <t>CAMIZAN VACA JEFFERSON ELIAN</t>
  </si>
  <si>
    <t>1729346864</t>
  </si>
  <si>
    <t>CHICAIZA AGUIRRE ANDRES SEBASTIAN</t>
  </si>
  <si>
    <t>1755918180</t>
  </si>
  <si>
    <t>COBA REA CAMILA ANAHI</t>
  </si>
  <si>
    <t>1755789466</t>
  </si>
  <si>
    <t>CUASPUD MEJIA KEVIN SEBASTIAN</t>
  </si>
  <si>
    <t>1753870649</t>
  </si>
  <si>
    <t>DELGADO GRANIZO KENNY PAMELA</t>
  </si>
  <si>
    <t>1756263545</t>
  </si>
  <si>
    <t>ILER PLACES SANDRO JACINTO</t>
  </si>
  <si>
    <t>1727605097</t>
  </si>
  <si>
    <t>MENA DAVILA DAMIAN ALEJANDRO</t>
  </si>
  <si>
    <t>1755624697</t>
  </si>
  <si>
    <t>MINA SILVA SAMANTHA VALENTINA</t>
  </si>
  <si>
    <t>1755277454</t>
  </si>
  <si>
    <t>MONCAYO OLALLA SCARLET DEJANIRA</t>
  </si>
  <si>
    <t>1050343944</t>
  </si>
  <si>
    <t>MORENO JIMENEZ BRITANY ANAHI</t>
  </si>
  <si>
    <t>1751827203</t>
  </si>
  <si>
    <t>MORENO SOLANO ARIANA MAYLEN</t>
  </si>
  <si>
    <t>1752471050</t>
  </si>
  <si>
    <t>MOSCUI ZAVALA SHIRLEY DENICE</t>
  </si>
  <si>
    <t>1753776267</t>
  </si>
  <si>
    <t>MURCIA LOPEZ NEYDAN ALEJANDRO</t>
  </si>
  <si>
    <t>1753763174</t>
  </si>
  <si>
    <t>NIVELA SIMBAÑA YULIANA CAROLINA</t>
  </si>
  <si>
    <t>1752068849</t>
  </si>
  <si>
    <t>ORTIZ TAYUPANTA SAMANTA ANALIA</t>
  </si>
  <si>
    <t>1754874905</t>
  </si>
  <si>
    <t>PEZO ALVEAR MAHOLY MARCELA</t>
  </si>
  <si>
    <t>1751134014</t>
  </si>
  <si>
    <t>PEÑA PILLAJO EMILY SOFIA</t>
  </si>
  <si>
    <t>1755277140</t>
  </si>
  <si>
    <t>RAMOS MUÑOZ JOSELYN ANAHI</t>
  </si>
  <si>
    <t>1752496610</t>
  </si>
  <si>
    <t>RAMOS SEVILLA ANA LUCIA</t>
  </si>
  <si>
    <t>1752467710</t>
  </si>
  <si>
    <t>RIVAS CAMPAÑA BRITTANY PRISCILA</t>
  </si>
  <si>
    <t>1755058128</t>
  </si>
  <si>
    <t>SACA TOAQUIZA JEDIER ISAIAS</t>
  </si>
  <si>
    <t>1727284190</t>
  </si>
  <si>
    <t>SOLIS BARRERA MAIKEL DAMIAN</t>
  </si>
  <si>
    <t>1751314392</t>
  </si>
  <si>
    <t>TACO ZURITA EMILY CRISTINA</t>
  </si>
  <si>
    <t>1728960467</t>
  </si>
  <si>
    <t>TANGUILA TOBAR SHERLYN ADANELIS</t>
  </si>
  <si>
    <t>1755274162</t>
  </si>
  <si>
    <t>TOAPANTA CHANCUSIG EMILY MISHELLE</t>
  </si>
  <si>
    <t>1754407946</t>
  </si>
  <si>
    <t>TOAPANTA FIERRO ANTHONY FERNANDO</t>
  </si>
  <si>
    <t>1752303832</t>
  </si>
  <si>
    <t>TORRES RUIZ SAMANTHA GUADALUPE</t>
  </si>
  <si>
    <t>1752256659</t>
  </si>
  <si>
    <t>VEINTIMILLA MONTES MAYKEL KALEF</t>
  </si>
  <si>
    <t>1754370326</t>
  </si>
  <si>
    <t>VILLEGAS VELEZ NAOMI GABRIELA</t>
  </si>
  <si>
    <t>1754504569</t>
  </si>
  <si>
    <t>VINUEZA CADENA AMY ELIZABETH</t>
  </si>
  <si>
    <t>1756202519</t>
  </si>
  <si>
    <t>YEPEZ TOAQUIZA BELINDA ANAHI</t>
  </si>
  <si>
    <t>1750562470</t>
  </si>
  <si>
    <t>ACARO TIPAN DARLIN MICHELLE</t>
  </si>
  <si>
    <t>1752433076</t>
  </si>
  <si>
    <t>ALVAREZ HERRERA MAYLI ANDREA</t>
  </si>
  <si>
    <t>1754049417</t>
  </si>
  <si>
    <t>ANCHALI MUÑOZ HEYDI ESTEFANY</t>
  </si>
  <si>
    <t>1750064881</t>
  </si>
  <si>
    <t>ANRANGO PORTILLA DANIS MAIDE</t>
  </si>
  <si>
    <t>1755743539</t>
  </si>
  <si>
    <t>CAIZA MASABANDA GENESIS JHOANA</t>
  </si>
  <si>
    <t>1755216023</t>
  </si>
  <si>
    <t>CARLOSAMA BASSANTE ANTHONY JAHIR</t>
  </si>
  <si>
    <t>1755032503</t>
  </si>
  <si>
    <t>CHANCUSI HERNANDEZ AYLIN MONSERRATHE</t>
  </si>
  <si>
    <t>1750799213</t>
  </si>
  <si>
    <t>CHIGUANO ALOMOTO MAYERLIE DENICE</t>
  </si>
  <si>
    <t>1754608139</t>
  </si>
  <si>
    <t>CHIMBO VAQUILEMA RONY ALEXANDER</t>
  </si>
  <si>
    <t>1726921339</t>
  </si>
  <si>
    <t>ERAZO BRAVO DAMARIS YANIVER</t>
  </si>
  <si>
    <t>1751705375</t>
  </si>
  <si>
    <t>GUALPA CHARIGUAMAN BRITHANY ELIZABETH</t>
  </si>
  <si>
    <t>1755615232</t>
  </si>
  <si>
    <t>HERRERA YUGCHA NAYELLY ANAHI</t>
  </si>
  <si>
    <t>1752456747</t>
  </si>
  <si>
    <t>IBARRA PAUCAR EMILY ALEJANDRA</t>
  </si>
  <si>
    <t>1751483973</t>
  </si>
  <si>
    <t>JARAMILLO CEDEÑO JOHAO MARTIN</t>
  </si>
  <si>
    <t>1755609169</t>
  </si>
  <si>
    <t>LOPEZ JIMENEZ ADANELLIS ANETHE</t>
  </si>
  <si>
    <t>1755257605</t>
  </si>
  <si>
    <t>MAZALEMA TENE LEIDY MIREYA</t>
  </si>
  <si>
    <t>1754173266</t>
  </si>
  <si>
    <t>MONROY CAÑOLA LIZ NATHALY</t>
  </si>
  <si>
    <t>1751801570</t>
  </si>
  <si>
    <t>OROZCO GUAMAN KATTYA SAMANTHA</t>
  </si>
  <si>
    <t>1754115705</t>
  </si>
  <si>
    <t>PILAGUANO PILATASIG JOFFRE RENATO</t>
  </si>
  <si>
    <t>1754659330</t>
  </si>
  <si>
    <t>RAMIREZ SALAS DOMINIQUE FIORELLA</t>
  </si>
  <si>
    <t>1752660991</t>
  </si>
  <si>
    <t>RODRIGUEZ ARIAS LINA MILENA</t>
  </si>
  <si>
    <t>1755411723</t>
  </si>
  <si>
    <t>ROMERO RODRIGUEZ LEONEL SEBASTIAN</t>
  </si>
  <si>
    <t>1753205655</t>
  </si>
  <si>
    <t>RUIZ MACAS ERICK DANIEL</t>
  </si>
  <si>
    <t>1754630653</t>
  </si>
  <si>
    <t>SALAZAR PARDO JANYS NAOMI</t>
  </si>
  <si>
    <t>1751839943</t>
  </si>
  <si>
    <t>TADAY TUITICE RICHARD MARCELO</t>
  </si>
  <si>
    <t>1753737574</t>
  </si>
  <si>
    <t>TAYUPANDA LEONES DANNA GABRIELA</t>
  </si>
  <si>
    <t>0550547046</t>
  </si>
  <si>
    <t>TOAPANTA CHANCUSIG MAYKEL ALEXANDER</t>
  </si>
  <si>
    <t>1750411900</t>
  </si>
  <si>
    <t>VEGA FONSECA DAVID ALEXANDER</t>
  </si>
  <si>
    <t>1754146411</t>
  </si>
  <si>
    <t>VEGA UGSHA GENESIS YELITZA</t>
  </si>
  <si>
    <t>1755555255</t>
  </si>
  <si>
    <t>YAGUAR FREIRE STALIN GUILLERMO</t>
  </si>
  <si>
    <t>1750589614</t>
  </si>
  <si>
    <t>YANEZ ARCOS JOSUE ALEJANDRO</t>
  </si>
  <si>
    <t>CUOTA VOLUNTARIA JURAMENTO A LA BANDERA</t>
  </si>
  <si>
    <t>CUOTA DE $2</t>
  </si>
  <si>
    <t>TRIPTICO $6</t>
  </si>
  <si>
    <t>CUOTA $2</t>
  </si>
  <si>
    <t>TOTAL RECAUDADO:</t>
  </si>
  <si>
    <t>DOBLE ALBUM</t>
  </si>
  <si>
    <t>TOTAL RECAUDADO</t>
  </si>
  <si>
    <t>TRPTICO</t>
  </si>
  <si>
    <t>2 DOBLES ALBUM</t>
  </si>
  <si>
    <t>1 DOBLE ALBUM</t>
  </si>
  <si>
    <t>CTRIPTICO $6</t>
  </si>
  <si>
    <t>BANDERAS</t>
  </si>
  <si>
    <t>CARPAS</t>
  </si>
  <si>
    <t xml:space="preserve">SANDUCHES </t>
  </si>
  <si>
    <t>COMISION ORNATO</t>
  </si>
  <si>
    <t>SONIDO</t>
  </si>
  <si>
    <t>TRIPLE TRIPTICO</t>
  </si>
  <si>
    <t>TRIPLE ALBUM</t>
  </si>
  <si>
    <t>ABONO SR PIEDRA</t>
  </si>
  <si>
    <t>TRPTICO $6</t>
  </si>
  <si>
    <t>HURTADO ANTONY</t>
  </si>
  <si>
    <t>BERNAL ROJAS SARA VALENTINA</t>
  </si>
  <si>
    <t>CTOTAL RECAUDADO</t>
  </si>
  <si>
    <t>TOTAL RFECAUDADO</t>
  </si>
  <si>
    <t>TOTAL DE TRIPTICOS</t>
  </si>
  <si>
    <t>TOTAL RECAUDADO DE $2</t>
  </si>
  <si>
    <t>TOTAL VALOR DE TRIPTICOS</t>
  </si>
  <si>
    <t>AMARRAS VALLAS</t>
  </si>
  <si>
    <t>FALTA FACTURA</t>
  </si>
  <si>
    <t>FACTURA 001-001-319</t>
  </si>
  <si>
    <t>RECIBO</t>
  </si>
  <si>
    <t>LAVADO DE TELAAS Y BANDERAS INCLUIDO</t>
  </si>
  <si>
    <t>FALTA FACTURA Y CONTRATO</t>
  </si>
  <si>
    <t>NOTA DE VENTA</t>
  </si>
  <si>
    <t>FACTURA 001-001-36563</t>
  </si>
  <si>
    <t>PALMAS Y MACETAS</t>
  </si>
  <si>
    <t>SOLO SANDUCHES, LAS COLAS FUERON DONACIONES</t>
  </si>
  <si>
    <t>EVENTO: JURAMENTO A LA BANDERA</t>
  </si>
  <si>
    <t>ELABORADO POR: LCDA GABY VINUEZA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</si>
</sst>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&quot;$&quot;\-#,##0"/>
    <numFmt numFmtId="44" formatCode="_ &quot;$&quot;* #,##0.00_ ;_ &quot;$&quot;* \-#,##0.00_ ;_ &quot;$&quot;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99FF"/>
      </patternFill>
    </fill>
    <fill>
      <patternFill patternType="solid">
        <fgColor rgb="FFFFFFFF"/>
      </patternFill>
    </fill>
    <fill>
      <patternFill patternType="solid">
        <fgColor rgb="FFECEB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44" fontId="0" fillId="0" borderId="0" xfId="2" applyFont="1"/>
    <xf numFmtId="0" fontId="0" fillId="3" borderId="1" xfId="0" applyFill="1" applyBorder="1"/>
    <xf numFmtId="0" fontId="0" fillId="0" borderId="1" xfId="0" applyBorder="1"/>
    <xf numFmtId="0" fontId="3" fillId="0" borderId="1" xfId="0" applyFont="1" applyBorder="1"/>
    <xf numFmtId="0" fontId="4" fillId="0" borderId="0" xfId="0" applyFont="1" applyAlignment="1">
      <alignment vertical="center"/>
    </xf>
    <xf numFmtId="0" fontId="0" fillId="0" borderId="1" xfId="0" applyFill="1" applyBorder="1"/>
    <xf numFmtId="0" fontId="3" fillId="0" borderId="1" xfId="0" applyFont="1" applyFill="1" applyBorder="1"/>
    <xf numFmtId="44" fontId="0" fillId="0" borderId="0" xfId="0" applyNumberFormat="1"/>
    <xf numFmtId="44" fontId="3" fillId="0" borderId="0" xfId="2" applyFont="1"/>
    <xf numFmtId="44" fontId="3" fillId="0" borderId="0" xfId="0" applyNumberFormat="1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4" borderId="1" xfId="2" applyFont="1" applyFill="1" applyBorder="1"/>
    <xf numFmtId="0" fontId="0" fillId="0" borderId="1" xfId="0" applyFill="1" applyBorder="1" applyAlignment="1">
      <alignment horizontal="center"/>
    </xf>
    <xf numFmtId="44" fontId="5" fillId="4" borderId="1" xfId="2" applyFont="1" applyFill="1" applyBorder="1"/>
    <xf numFmtId="0" fontId="0" fillId="0" borderId="0" xfId="0" applyAlignment="1">
      <alignment horizontal="left"/>
    </xf>
    <xf numFmtId="0" fontId="0" fillId="0" borderId="0" xfId="0" applyAlignment="1" applyProtection="1">
      <alignment wrapText="1"/>
      <protection locked="0"/>
    </xf>
    <xf numFmtId="0" fontId="10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2" fillId="0" borderId="0" xfId="0" applyFont="1"/>
    <xf numFmtId="0" fontId="10" fillId="0" borderId="4" xfId="0" applyFont="1" applyBorder="1" applyAlignment="1">
      <alignment vertical="center" wrapText="1"/>
    </xf>
    <xf numFmtId="0" fontId="10" fillId="7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44" fontId="10" fillId="7" borderId="2" xfId="2" applyFont="1" applyFill="1" applyBorder="1" applyAlignment="1">
      <alignment horizontal="left" vertical="center" wrapText="1"/>
    </xf>
    <xf numFmtId="44" fontId="14" fillId="9" borderId="0" xfId="0" applyNumberFormat="1" applyFont="1" applyFill="1"/>
    <xf numFmtId="0" fontId="14" fillId="0" borderId="0" xfId="0" applyFont="1"/>
    <xf numFmtId="44" fontId="10" fillId="8" borderId="2" xfId="2" applyFont="1" applyFill="1" applyBorder="1" applyAlignment="1">
      <alignment horizontal="left" vertical="center" wrapText="1"/>
    </xf>
    <xf numFmtId="0" fontId="2" fillId="0" borderId="0" xfId="0" applyFont="1"/>
    <xf numFmtId="0" fontId="15" fillId="0" borderId="0" xfId="0" applyFont="1"/>
    <xf numFmtId="6" fontId="11" fillId="6" borderId="3" xfId="0" applyNumberFormat="1" applyFont="1" applyFill="1" applyBorder="1" applyAlignment="1">
      <alignment horizontal="center" vertical="center" wrapText="1"/>
    </xf>
    <xf numFmtId="44" fontId="10" fillId="2" borderId="2" xfId="2" applyFont="1" applyFill="1" applyBorder="1" applyAlignment="1">
      <alignment horizontal="left" vertical="center" wrapText="1"/>
    </xf>
    <xf numFmtId="44" fontId="10" fillId="7" borderId="0" xfId="0" applyNumberFormat="1" applyFont="1" applyFill="1" applyAlignment="1">
      <alignment horizontal="left" vertical="center" wrapText="1"/>
    </xf>
    <xf numFmtId="44" fontId="14" fillId="9" borderId="0" xfId="2" applyFont="1" applyFill="1"/>
    <xf numFmtId="44" fontId="0" fillId="9" borderId="1" xfId="2" applyFont="1" applyFill="1" applyBorder="1"/>
    <xf numFmtId="0" fontId="10" fillId="2" borderId="2" xfId="0" applyFont="1" applyFill="1" applyBorder="1" applyAlignment="1">
      <alignment horizontal="left" vertical="center" wrapText="1"/>
    </xf>
    <xf numFmtId="44" fontId="14" fillId="10" borderId="0" xfId="0" applyNumberFormat="1" applyFont="1" applyFill="1"/>
    <xf numFmtId="0" fontId="15" fillId="0" borderId="6" xfId="0" applyFont="1" applyFill="1" applyBorder="1" applyAlignment="1">
      <alignment horizontal="center"/>
    </xf>
    <xf numFmtId="0" fontId="0" fillId="0" borderId="7" xfId="0" applyBorder="1"/>
    <xf numFmtId="0" fontId="3" fillId="5" borderId="5" xfId="1" applyNumberFormat="1" applyFont="1" applyFill="1" applyBorder="1"/>
    <xf numFmtId="44" fontId="3" fillId="5" borderId="5" xfId="2" applyFont="1" applyFill="1" applyBorder="1"/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4" fontId="3" fillId="5" borderId="0" xfId="0" applyNumberFormat="1" applyFont="1" applyFill="1"/>
    <xf numFmtId="0" fontId="3" fillId="0" borderId="0" xfId="0" applyFont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8" workbookViewId="0">
      <selection activeCell="G26" sqref="G26"/>
    </sheetView>
  </sheetViews>
  <sheetFormatPr baseColWidth="10" defaultRowHeight="14.5" x14ac:dyDescent="0.35"/>
  <cols>
    <col min="1" max="1" width="2.7265625" customWidth="1"/>
    <col min="2" max="2" width="10.26953125" customWidth="1"/>
    <col min="3" max="3" width="20.7265625" customWidth="1"/>
    <col min="4" max="4" width="11.08984375" customWidth="1"/>
    <col min="5" max="5" width="9.6328125" customWidth="1"/>
    <col min="7" max="7" width="25.26953125" customWidth="1"/>
  </cols>
  <sheetData>
    <row r="1" spans="1:10" x14ac:dyDescent="0.3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x14ac:dyDescent="0.35">
      <c r="D3" s="56" t="s">
        <v>1333</v>
      </c>
      <c r="E3" s="56"/>
      <c r="F3" s="56"/>
      <c r="G3" s="56"/>
    </row>
    <row r="5" spans="1:10" ht="18.5" x14ac:dyDescent="0.45">
      <c r="A5" s="3"/>
      <c r="B5" s="14" t="s">
        <v>1</v>
      </c>
      <c r="C5" s="15" t="s">
        <v>2</v>
      </c>
      <c r="D5" s="16">
        <v>6</v>
      </c>
      <c r="E5" s="16">
        <v>2</v>
      </c>
      <c r="F5" s="15" t="s">
        <v>3</v>
      </c>
      <c r="G5" s="12"/>
    </row>
    <row r="6" spans="1:10" x14ac:dyDescent="0.35">
      <c r="A6" s="3">
        <v>1</v>
      </c>
      <c r="B6" s="3" t="s">
        <v>4</v>
      </c>
      <c r="C6" s="17" t="s">
        <v>15</v>
      </c>
      <c r="D6" s="3">
        <v>33</v>
      </c>
      <c r="E6" s="3">
        <v>33</v>
      </c>
      <c r="F6" s="18">
        <v>264</v>
      </c>
    </row>
    <row r="7" spans="1:10" x14ac:dyDescent="0.35">
      <c r="A7" s="3">
        <v>2</v>
      </c>
      <c r="B7" s="3" t="s">
        <v>5</v>
      </c>
      <c r="C7" s="17" t="s">
        <v>15</v>
      </c>
      <c r="D7" s="3">
        <v>40</v>
      </c>
      <c r="E7" s="3">
        <v>38</v>
      </c>
      <c r="F7" s="18">
        <v>316</v>
      </c>
      <c r="G7" s="37" t="s">
        <v>1304</v>
      </c>
    </row>
    <row r="8" spans="1:10" x14ac:dyDescent="0.35">
      <c r="A8" s="3">
        <v>3</v>
      </c>
      <c r="B8" s="3" t="s">
        <v>6</v>
      </c>
      <c r="C8" s="17" t="s">
        <v>15</v>
      </c>
      <c r="D8" s="3">
        <v>34</v>
      </c>
      <c r="E8" s="6">
        <v>37</v>
      </c>
      <c r="F8" s="18">
        <v>278</v>
      </c>
    </row>
    <row r="9" spans="1:10" x14ac:dyDescent="0.35">
      <c r="A9" s="3">
        <v>4</v>
      </c>
      <c r="B9" s="3" t="s">
        <v>7</v>
      </c>
      <c r="C9" s="17" t="s">
        <v>15</v>
      </c>
      <c r="D9" s="3">
        <v>38</v>
      </c>
      <c r="E9" s="3">
        <v>39</v>
      </c>
      <c r="F9" s="18">
        <v>306</v>
      </c>
    </row>
    <row r="10" spans="1:10" x14ac:dyDescent="0.35">
      <c r="A10" s="3">
        <v>5</v>
      </c>
      <c r="B10" s="3" t="s">
        <v>8</v>
      </c>
      <c r="C10" s="17" t="s">
        <v>15</v>
      </c>
      <c r="D10" s="3">
        <v>39</v>
      </c>
      <c r="E10" s="3">
        <v>40</v>
      </c>
      <c r="F10" s="18">
        <v>313</v>
      </c>
    </row>
    <row r="11" spans="1:10" x14ac:dyDescent="0.35">
      <c r="A11" s="3">
        <v>6</v>
      </c>
      <c r="B11" s="3" t="s">
        <v>9</v>
      </c>
      <c r="C11" s="17" t="s">
        <v>15</v>
      </c>
      <c r="D11" s="3">
        <v>36</v>
      </c>
      <c r="E11" s="3">
        <v>38</v>
      </c>
      <c r="F11" s="18">
        <v>292</v>
      </c>
    </row>
    <row r="12" spans="1:10" x14ac:dyDescent="0.35">
      <c r="A12" s="3">
        <v>7</v>
      </c>
      <c r="B12" s="3" t="s">
        <v>10</v>
      </c>
      <c r="C12" s="17" t="s">
        <v>15</v>
      </c>
      <c r="D12" s="3">
        <v>39</v>
      </c>
      <c r="E12" s="3">
        <v>40</v>
      </c>
      <c r="F12" s="18">
        <v>314</v>
      </c>
    </row>
    <row r="13" spans="1:10" x14ac:dyDescent="0.35">
      <c r="A13" s="3">
        <v>8</v>
      </c>
      <c r="B13" s="3" t="s">
        <v>11</v>
      </c>
      <c r="C13" s="17" t="s">
        <v>15</v>
      </c>
      <c r="D13" s="3">
        <v>35</v>
      </c>
      <c r="E13" s="3">
        <v>35</v>
      </c>
      <c r="F13" s="43">
        <v>280</v>
      </c>
    </row>
    <row r="14" spans="1:10" x14ac:dyDescent="0.35">
      <c r="A14" s="3">
        <v>9</v>
      </c>
      <c r="B14" s="3" t="s">
        <v>12</v>
      </c>
      <c r="C14" s="17" t="s">
        <v>15</v>
      </c>
      <c r="D14" s="3">
        <v>35</v>
      </c>
      <c r="E14" s="3">
        <v>38</v>
      </c>
      <c r="F14" s="18">
        <v>286</v>
      </c>
      <c r="G14" s="38" t="s">
        <v>1305</v>
      </c>
    </row>
    <row r="15" spans="1:10" x14ac:dyDescent="0.35">
      <c r="A15" s="3">
        <v>10</v>
      </c>
      <c r="B15" s="3" t="s">
        <v>13</v>
      </c>
      <c r="C15" s="17" t="s">
        <v>15</v>
      </c>
      <c r="D15" s="2">
        <v>32</v>
      </c>
      <c r="E15" s="3">
        <v>31</v>
      </c>
      <c r="F15" s="18">
        <v>254</v>
      </c>
      <c r="G15" s="38" t="s">
        <v>1313</v>
      </c>
    </row>
    <row r="16" spans="1:10" x14ac:dyDescent="0.35">
      <c r="A16" s="3">
        <v>11</v>
      </c>
      <c r="B16" s="3" t="s">
        <v>14</v>
      </c>
      <c r="C16" s="17" t="s">
        <v>15</v>
      </c>
      <c r="D16" s="3">
        <v>30</v>
      </c>
      <c r="E16" s="3">
        <v>30</v>
      </c>
      <c r="F16" s="18">
        <v>240</v>
      </c>
    </row>
    <row r="17" spans="1:9" x14ac:dyDescent="0.35">
      <c r="A17" s="3">
        <v>12</v>
      </c>
      <c r="B17" s="3" t="s">
        <v>128</v>
      </c>
      <c r="C17" s="19" t="s">
        <v>15</v>
      </c>
      <c r="D17" s="3">
        <v>39</v>
      </c>
      <c r="E17" s="3">
        <v>39</v>
      </c>
      <c r="F17" s="20">
        <v>312</v>
      </c>
    </row>
    <row r="18" spans="1:9" x14ac:dyDescent="0.35">
      <c r="A18" s="3">
        <v>13</v>
      </c>
      <c r="B18" s="3" t="s">
        <v>4</v>
      </c>
      <c r="C18" s="19" t="s">
        <v>117</v>
      </c>
      <c r="D18" s="3">
        <v>34</v>
      </c>
      <c r="E18" s="3">
        <v>35</v>
      </c>
      <c r="F18" s="18">
        <v>274</v>
      </c>
    </row>
    <row r="19" spans="1:9" x14ac:dyDescent="0.35">
      <c r="A19" s="3">
        <v>14</v>
      </c>
      <c r="B19" s="3" t="s">
        <v>5</v>
      </c>
      <c r="C19" s="19" t="s">
        <v>117</v>
      </c>
      <c r="D19" s="3">
        <v>35</v>
      </c>
      <c r="E19" s="3">
        <v>36</v>
      </c>
      <c r="F19" s="18">
        <v>282</v>
      </c>
    </row>
    <row r="20" spans="1:9" x14ac:dyDescent="0.35">
      <c r="A20" s="3">
        <v>15</v>
      </c>
      <c r="B20" s="3" t="s">
        <v>4</v>
      </c>
      <c r="C20" s="19" t="s">
        <v>32</v>
      </c>
      <c r="D20" s="3">
        <v>35</v>
      </c>
      <c r="E20" s="3">
        <v>36</v>
      </c>
      <c r="F20" s="18">
        <v>282</v>
      </c>
    </row>
    <row r="21" spans="1:9" ht="15" thickBot="1" x14ac:dyDescent="0.4">
      <c r="A21" s="3">
        <v>16</v>
      </c>
      <c r="B21" s="3" t="s">
        <v>5</v>
      </c>
      <c r="C21" s="19" t="s">
        <v>32</v>
      </c>
      <c r="D21" s="47">
        <v>30</v>
      </c>
      <c r="E21" s="3">
        <v>31</v>
      </c>
      <c r="F21" s="18">
        <v>242</v>
      </c>
    </row>
    <row r="22" spans="1:9" ht="15" thickBot="1" x14ac:dyDescent="0.4">
      <c r="C22" s="46" t="s">
        <v>1320</v>
      </c>
      <c r="D22" s="48">
        <f>SUM(D6:D21)</f>
        <v>564</v>
      </c>
      <c r="E22">
        <f>SUM(E6:E21)</f>
        <v>576</v>
      </c>
      <c r="F22" s="10">
        <f>SUM(F6:F21)</f>
        <v>4535</v>
      </c>
    </row>
    <row r="23" spans="1:9" ht="15" thickBot="1" x14ac:dyDescent="0.4">
      <c r="C23" s="51" t="s">
        <v>1321</v>
      </c>
      <c r="D23" s="51"/>
      <c r="E23" s="49">
        <f>E22*2</f>
        <v>1152</v>
      </c>
    </row>
    <row r="24" spans="1:9" ht="15" thickBot="1" x14ac:dyDescent="0.4">
      <c r="C24" s="51" t="s">
        <v>1322</v>
      </c>
      <c r="D24" s="52"/>
      <c r="E24" s="49">
        <f>D22*6</f>
        <v>3384</v>
      </c>
    </row>
    <row r="25" spans="1:9" x14ac:dyDescent="0.35">
      <c r="E25" s="10">
        <f>SUM(E23:E24)</f>
        <v>4536</v>
      </c>
    </row>
    <row r="26" spans="1:9" x14ac:dyDescent="0.35">
      <c r="B26" s="11" t="s">
        <v>136</v>
      </c>
      <c r="C26" s="11" t="s">
        <v>131</v>
      </c>
      <c r="D26" s="11" t="s">
        <v>132</v>
      </c>
    </row>
    <row r="27" spans="1:9" x14ac:dyDescent="0.35">
      <c r="C27" s="13" t="s">
        <v>1307</v>
      </c>
      <c r="D27" s="1">
        <v>300</v>
      </c>
      <c r="E27" s="57" t="s">
        <v>1324</v>
      </c>
      <c r="F27" s="57"/>
    </row>
    <row r="28" spans="1:9" x14ac:dyDescent="0.35">
      <c r="C28" s="13" t="s">
        <v>1308</v>
      </c>
      <c r="D28" s="1">
        <v>95</v>
      </c>
      <c r="E28" s="57" t="s">
        <v>1324</v>
      </c>
      <c r="F28" s="57"/>
    </row>
    <row r="29" spans="1:9" x14ac:dyDescent="0.35">
      <c r="C29" s="13" t="s">
        <v>1309</v>
      </c>
      <c r="D29" s="1">
        <v>99.75</v>
      </c>
      <c r="E29" s="55" t="s">
        <v>1325</v>
      </c>
      <c r="F29" s="55"/>
      <c r="G29" s="55" t="s">
        <v>1332</v>
      </c>
      <c r="H29" s="55"/>
      <c r="I29" s="55"/>
    </row>
    <row r="30" spans="1:9" x14ac:dyDescent="0.35">
      <c r="C30" s="13" t="s">
        <v>1310</v>
      </c>
      <c r="D30" s="1">
        <v>97.6</v>
      </c>
      <c r="E30" s="55" t="s">
        <v>1326</v>
      </c>
      <c r="F30" s="55"/>
      <c r="G30" s="56" t="s">
        <v>1327</v>
      </c>
      <c r="H30" s="56"/>
    </row>
    <row r="31" spans="1:9" x14ac:dyDescent="0.35">
      <c r="C31" s="13" t="s">
        <v>1311</v>
      </c>
      <c r="D31" s="1">
        <v>100</v>
      </c>
      <c r="E31" s="57" t="s">
        <v>1324</v>
      </c>
      <c r="F31" s="57"/>
    </row>
    <row r="32" spans="1:9" x14ac:dyDescent="0.35">
      <c r="C32" s="13" t="s">
        <v>1314</v>
      </c>
      <c r="D32" s="1">
        <v>2480</v>
      </c>
      <c r="E32" s="58" t="s">
        <v>1328</v>
      </c>
      <c r="F32" s="58"/>
      <c r="G32" s="58"/>
    </row>
    <row r="33" spans="2:6" x14ac:dyDescent="0.35">
      <c r="C33" s="13" t="s">
        <v>1323</v>
      </c>
      <c r="D33" s="1">
        <v>7</v>
      </c>
      <c r="E33" s="55" t="s">
        <v>1329</v>
      </c>
      <c r="F33" s="55"/>
    </row>
    <row r="34" spans="2:6" x14ac:dyDescent="0.35">
      <c r="C34" s="13" t="s">
        <v>1331</v>
      </c>
      <c r="D34" s="1">
        <v>20</v>
      </c>
      <c r="E34" s="55" t="s">
        <v>1330</v>
      </c>
      <c r="F34" s="55"/>
    </row>
    <row r="35" spans="2:6" x14ac:dyDescent="0.35">
      <c r="D35" s="9">
        <f>SUM(D27:D34)</f>
        <v>3199.35</v>
      </c>
    </row>
    <row r="37" spans="2:6" x14ac:dyDescent="0.35">
      <c r="B37" s="11" t="s">
        <v>133</v>
      </c>
      <c r="C37" s="8">
        <f>SUM(F22)</f>
        <v>4535</v>
      </c>
    </row>
    <row r="38" spans="2:6" x14ac:dyDescent="0.35">
      <c r="B38" s="11" t="s">
        <v>134</v>
      </c>
      <c r="C38" s="8">
        <f>SUM(D35)</f>
        <v>3199.35</v>
      </c>
    </row>
    <row r="39" spans="2:6" x14ac:dyDescent="0.35">
      <c r="B39" s="11" t="s">
        <v>135</v>
      </c>
      <c r="C39" s="59">
        <f>C37-C38</f>
        <v>1335.65</v>
      </c>
    </row>
    <row r="41" spans="2:6" x14ac:dyDescent="0.35">
      <c r="B41" s="60" t="s">
        <v>1334</v>
      </c>
      <c r="C41" s="60"/>
      <c r="D41" s="60"/>
    </row>
  </sheetData>
  <mergeCells count="15">
    <mergeCell ref="B41:D41"/>
    <mergeCell ref="E34:F34"/>
    <mergeCell ref="G30:H30"/>
    <mergeCell ref="E32:G32"/>
    <mergeCell ref="G29:I29"/>
    <mergeCell ref="D3:G3"/>
    <mergeCell ref="E29:F29"/>
    <mergeCell ref="E30:F30"/>
    <mergeCell ref="E31:F31"/>
    <mergeCell ref="E33:F33"/>
    <mergeCell ref="A1:J2"/>
    <mergeCell ref="C23:D23"/>
    <mergeCell ref="C24:D24"/>
    <mergeCell ref="E27:F27"/>
    <mergeCell ref="E28:F28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37"/>
  <sheetViews>
    <sheetView topLeftCell="A720" zoomScale="93" workbookViewId="0">
      <selection activeCell="F738" sqref="F738"/>
    </sheetView>
  </sheetViews>
  <sheetFormatPr baseColWidth="10" defaultColWidth="11.453125" defaultRowHeight="14.5" x14ac:dyDescent="0.35"/>
  <cols>
    <col min="1" max="1" width="3.7265625" customWidth="1"/>
    <col min="2" max="2" width="3.6328125" style="21" customWidth="1"/>
    <col min="3" max="3" width="13.453125" customWidth="1"/>
    <col min="4" max="4" width="45.7265625" customWidth="1"/>
    <col min="5" max="5" width="14.453125" customWidth="1"/>
    <col min="6" max="6" width="14.6328125" customWidth="1"/>
  </cols>
  <sheetData>
    <row r="1" spans="2:6" ht="15" customHeight="1" x14ac:dyDescent="0.35">
      <c r="C1" s="22" t="s">
        <v>137</v>
      </c>
      <c r="D1" s="23" t="s">
        <v>138</v>
      </c>
      <c r="E1" s="23"/>
      <c r="F1" s="23"/>
    </row>
    <row r="2" spans="2:6" ht="15" customHeight="1" x14ac:dyDescent="0.35">
      <c r="C2" s="22" t="s">
        <v>139</v>
      </c>
      <c r="D2" s="23" t="s">
        <v>140</v>
      </c>
      <c r="E2" s="23"/>
      <c r="F2" s="23"/>
    </row>
    <row r="3" spans="2:6" ht="15" customHeight="1" x14ac:dyDescent="0.35">
      <c r="C3" s="22" t="s">
        <v>141</v>
      </c>
      <c r="D3" s="23" t="s">
        <v>142</v>
      </c>
      <c r="E3" s="53" t="s">
        <v>1296</v>
      </c>
      <c r="F3" s="53"/>
    </row>
    <row r="4" spans="2:6" ht="15" customHeight="1" x14ac:dyDescent="0.35">
      <c r="C4" s="22" t="s">
        <v>17</v>
      </c>
      <c r="D4" s="23" t="s">
        <v>143</v>
      </c>
      <c r="E4" s="53"/>
      <c r="F4" s="53"/>
    </row>
    <row r="5" spans="2:6" ht="15" customHeight="1" x14ac:dyDescent="0.35">
      <c r="C5" s="22" t="s">
        <v>1</v>
      </c>
      <c r="D5" s="23" t="s">
        <v>4</v>
      </c>
      <c r="E5" s="24"/>
      <c r="F5" s="24"/>
    </row>
    <row r="6" spans="2:6" ht="15" customHeight="1" x14ac:dyDescent="0.35">
      <c r="B6" s="25" t="s">
        <v>144</v>
      </c>
      <c r="C6" s="25" t="s">
        <v>145</v>
      </c>
      <c r="D6" s="25" t="s">
        <v>146</v>
      </c>
      <c r="E6" s="26" t="s">
        <v>1298</v>
      </c>
      <c r="F6" s="26" t="s">
        <v>1299</v>
      </c>
    </row>
    <row r="7" spans="2:6" ht="15" customHeight="1" x14ac:dyDescent="0.35">
      <c r="B7" s="27">
        <v>1</v>
      </c>
      <c r="C7" s="27" t="s">
        <v>147</v>
      </c>
      <c r="D7" s="27" t="s">
        <v>148</v>
      </c>
      <c r="E7" s="33">
        <v>6</v>
      </c>
      <c r="F7" s="33">
        <v>2</v>
      </c>
    </row>
    <row r="8" spans="2:6" ht="15" customHeight="1" x14ac:dyDescent="0.35">
      <c r="B8" s="27">
        <v>2</v>
      </c>
      <c r="C8" s="28" t="s">
        <v>149</v>
      </c>
      <c r="D8" s="28" t="s">
        <v>150</v>
      </c>
      <c r="E8" s="33">
        <v>6</v>
      </c>
      <c r="F8" s="33">
        <v>2</v>
      </c>
    </row>
    <row r="9" spans="2:6" ht="15" customHeight="1" x14ac:dyDescent="0.35">
      <c r="B9" s="27">
        <v>3</v>
      </c>
      <c r="C9" s="27" t="s">
        <v>151</v>
      </c>
      <c r="D9" s="27" t="s">
        <v>152</v>
      </c>
      <c r="E9" s="33">
        <v>6</v>
      </c>
      <c r="F9" s="33">
        <v>2</v>
      </c>
    </row>
    <row r="10" spans="2:6" ht="15" customHeight="1" x14ac:dyDescent="0.35">
      <c r="B10" s="27">
        <v>4</v>
      </c>
      <c r="C10" s="28" t="s">
        <v>153</v>
      </c>
      <c r="D10" s="28" t="s">
        <v>154</v>
      </c>
      <c r="E10" s="33">
        <v>6</v>
      </c>
      <c r="F10" s="33">
        <v>2</v>
      </c>
    </row>
    <row r="11" spans="2:6" ht="15" customHeight="1" x14ac:dyDescent="0.35">
      <c r="B11" s="27">
        <v>5</v>
      </c>
      <c r="C11" s="27" t="s">
        <v>155</v>
      </c>
      <c r="D11" s="27" t="s">
        <v>156</v>
      </c>
      <c r="E11" s="33">
        <v>6</v>
      </c>
      <c r="F11" s="33">
        <v>2</v>
      </c>
    </row>
    <row r="12" spans="2:6" ht="15" customHeight="1" x14ac:dyDescent="0.35">
      <c r="B12" s="27">
        <v>6</v>
      </c>
      <c r="C12" s="27" t="s">
        <v>157</v>
      </c>
      <c r="D12" s="27" t="s">
        <v>158</v>
      </c>
      <c r="E12" s="33">
        <v>6</v>
      </c>
      <c r="F12" s="33">
        <v>2</v>
      </c>
    </row>
    <row r="13" spans="2:6" ht="15" customHeight="1" x14ac:dyDescent="0.35">
      <c r="B13" s="27">
        <v>7</v>
      </c>
      <c r="C13" s="28" t="s">
        <v>159</v>
      </c>
      <c r="D13" s="28" t="s">
        <v>160</v>
      </c>
      <c r="E13" s="33">
        <v>6</v>
      </c>
      <c r="F13" s="33">
        <v>2</v>
      </c>
    </row>
    <row r="14" spans="2:6" ht="15" customHeight="1" x14ac:dyDescent="0.35">
      <c r="B14" s="27">
        <v>8</v>
      </c>
      <c r="C14" s="27" t="s">
        <v>161</v>
      </c>
      <c r="D14" s="27" t="s">
        <v>162</v>
      </c>
      <c r="E14" s="33">
        <v>6</v>
      </c>
      <c r="F14" s="33">
        <v>2</v>
      </c>
    </row>
    <row r="15" spans="2:6" ht="15" customHeight="1" x14ac:dyDescent="0.35">
      <c r="B15" s="27">
        <v>9</v>
      </c>
      <c r="C15" s="28" t="s">
        <v>163</v>
      </c>
      <c r="D15" s="28" t="s">
        <v>164</v>
      </c>
      <c r="E15" s="33">
        <v>6</v>
      </c>
      <c r="F15" s="33">
        <v>2</v>
      </c>
    </row>
    <row r="16" spans="2:6" ht="15" customHeight="1" x14ac:dyDescent="0.35">
      <c r="B16" s="27">
        <v>10</v>
      </c>
      <c r="C16" s="27" t="s">
        <v>165</v>
      </c>
      <c r="D16" s="27" t="s">
        <v>166</v>
      </c>
      <c r="E16" s="33">
        <v>6</v>
      </c>
      <c r="F16" s="33">
        <v>2</v>
      </c>
    </row>
    <row r="17" spans="2:6" ht="15" customHeight="1" x14ac:dyDescent="0.35">
      <c r="B17" s="27">
        <v>11</v>
      </c>
      <c r="C17" s="28" t="s">
        <v>167</v>
      </c>
      <c r="D17" s="28" t="s">
        <v>168</v>
      </c>
      <c r="E17" s="33">
        <v>6</v>
      </c>
      <c r="F17" s="33">
        <v>2</v>
      </c>
    </row>
    <row r="18" spans="2:6" ht="15" customHeight="1" x14ac:dyDescent="0.35">
      <c r="B18" s="27">
        <v>12</v>
      </c>
      <c r="C18" s="27" t="s">
        <v>169</v>
      </c>
      <c r="D18" s="27" t="s">
        <v>170</v>
      </c>
      <c r="E18" s="33">
        <v>6</v>
      </c>
      <c r="F18" s="33">
        <v>2</v>
      </c>
    </row>
    <row r="19" spans="2:6" ht="15" customHeight="1" x14ac:dyDescent="0.35">
      <c r="B19" s="27">
        <v>13</v>
      </c>
      <c r="C19" s="28" t="s">
        <v>171</v>
      </c>
      <c r="D19" s="28" t="s">
        <v>172</v>
      </c>
      <c r="E19" s="33">
        <v>6</v>
      </c>
      <c r="F19" s="33">
        <v>2</v>
      </c>
    </row>
    <row r="20" spans="2:6" ht="15" customHeight="1" x14ac:dyDescent="0.35">
      <c r="B20" s="27">
        <v>14</v>
      </c>
      <c r="C20" s="27" t="s">
        <v>173</v>
      </c>
      <c r="D20" s="27" t="s">
        <v>174</v>
      </c>
      <c r="E20" s="33">
        <v>6</v>
      </c>
      <c r="F20" s="33">
        <v>2</v>
      </c>
    </row>
    <row r="21" spans="2:6" ht="15" customHeight="1" x14ac:dyDescent="0.35">
      <c r="B21" s="27">
        <v>15</v>
      </c>
      <c r="C21" s="28" t="s">
        <v>175</v>
      </c>
      <c r="D21" s="28" t="s">
        <v>176</v>
      </c>
      <c r="E21" s="33">
        <v>6</v>
      </c>
      <c r="F21" s="33">
        <v>2</v>
      </c>
    </row>
    <row r="22" spans="2:6" ht="15" customHeight="1" x14ac:dyDescent="0.35">
      <c r="B22" s="27">
        <v>16</v>
      </c>
      <c r="C22" s="27" t="s">
        <v>177</v>
      </c>
      <c r="D22" s="27" t="s">
        <v>178</v>
      </c>
      <c r="E22" s="33">
        <v>6</v>
      </c>
      <c r="F22" s="33">
        <v>2</v>
      </c>
    </row>
    <row r="23" spans="2:6" ht="15" customHeight="1" x14ac:dyDescent="0.35">
      <c r="B23" s="27">
        <v>17</v>
      </c>
      <c r="C23" s="28" t="s">
        <v>179</v>
      </c>
      <c r="D23" s="28" t="s">
        <v>180</v>
      </c>
      <c r="E23" s="33">
        <v>6</v>
      </c>
      <c r="F23" s="33">
        <v>2</v>
      </c>
    </row>
    <row r="24" spans="2:6" ht="15" customHeight="1" x14ac:dyDescent="0.35">
      <c r="B24" s="27">
        <v>18</v>
      </c>
      <c r="C24" s="27" t="s">
        <v>181</v>
      </c>
      <c r="D24" s="27" t="s">
        <v>182</v>
      </c>
      <c r="E24" s="33">
        <v>6</v>
      </c>
      <c r="F24" s="33">
        <v>2</v>
      </c>
    </row>
    <row r="25" spans="2:6" ht="15" customHeight="1" x14ac:dyDescent="0.35">
      <c r="B25" s="27">
        <v>19</v>
      </c>
      <c r="C25" s="27" t="s">
        <v>183</v>
      </c>
      <c r="D25" s="27" t="s">
        <v>184</v>
      </c>
      <c r="E25" s="33">
        <v>6</v>
      </c>
      <c r="F25" s="33">
        <v>2</v>
      </c>
    </row>
    <row r="26" spans="2:6" ht="15" customHeight="1" x14ac:dyDescent="0.35">
      <c r="B26" s="27">
        <v>20</v>
      </c>
      <c r="C26" s="28" t="s">
        <v>185</v>
      </c>
      <c r="D26" s="28" t="s">
        <v>186</v>
      </c>
      <c r="E26" s="33">
        <v>6</v>
      </c>
      <c r="F26" s="33">
        <v>2</v>
      </c>
    </row>
    <row r="27" spans="2:6" ht="15" customHeight="1" x14ac:dyDescent="0.35">
      <c r="B27" s="27">
        <v>21</v>
      </c>
      <c r="C27" s="27" t="s">
        <v>187</v>
      </c>
      <c r="D27" s="27" t="s">
        <v>188</v>
      </c>
      <c r="E27" s="33">
        <v>6</v>
      </c>
      <c r="F27" s="33">
        <v>2</v>
      </c>
    </row>
    <row r="28" spans="2:6" ht="15" customHeight="1" x14ac:dyDescent="0.35">
      <c r="B28" s="27">
        <v>22</v>
      </c>
      <c r="C28" s="28" t="s">
        <v>189</v>
      </c>
      <c r="D28" s="28" t="s">
        <v>190</v>
      </c>
      <c r="E28" s="33">
        <v>6</v>
      </c>
      <c r="F28" s="33">
        <v>2</v>
      </c>
    </row>
    <row r="29" spans="2:6" ht="15" customHeight="1" x14ac:dyDescent="0.35">
      <c r="B29" s="27">
        <v>23</v>
      </c>
      <c r="C29" s="27" t="s">
        <v>191</v>
      </c>
      <c r="D29" s="27" t="s">
        <v>192</v>
      </c>
      <c r="E29" s="33">
        <v>6</v>
      </c>
      <c r="F29" s="33">
        <v>2</v>
      </c>
    </row>
    <row r="30" spans="2:6" ht="15" customHeight="1" x14ac:dyDescent="0.35">
      <c r="B30" s="27">
        <v>24</v>
      </c>
      <c r="C30" s="28" t="s">
        <v>193</v>
      </c>
      <c r="D30" s="28" t="s">
        <v>194</v>
      </c>
      <c r="E30" s="33">
        <v>6</v>
      </c>
      <c r="F30" s="33">
        <v>2</v>
      </c>
    </row>
    <row r="31" spans="2:6" ht="15" customHeight="1" x14ac:dyDescent="0.35">
      <c r="B31" s="27">
        <v>25</v>
      </c>
      <c r="C31" s="27" t="s">
        <v>195</v>
      </c>
      <c r="D31" s="27" t="s">
        <v>196</v>
      </c>
      <c r="E31" s="33">
        <v>6</v>
      </c>
      <c r="F31" s="33">
        <v>2</v>
      </c>
    </row>
    <row r="32" spans="2:6" ht="15" customHeight="1" x14ac:dyDescent="0.35">
      <c r="B32" s="27">
        <v>26</v>
      </c>
      <c r="C32" s="28" t="s">
        <v>197</v>
      </c>
      <c r="D32" s="28" t="s">
        <v>198</v>
      </c>
      <c r="E32" s="33">
        <v>6</v>
      </c>
      <c r="F32" s="33">
        <v>2</v>
      </c>
    </row>
    <row r="33" spans="2:6" ht="15" customHeight="1" x14ac:dyDescent="0.35">
      <c r="B33" s="27">
        <v>27</v>
      </c>
      <c r="C33" s="27" t="s">
        <v>199</v>
      </c>
      <c r="D33" s="27" t="s">
        <v>200</v>
      </c>
      <c r="E33" s="33">
        <v>6</v>
      </c>
      <c r="F33" s="33">
        <v>2</v>
      </c>
    </row>
    <row r="34" spans="2:6" ht="15" customHeight="1" x14ac:dyDescent="0.35">
      <c r="B34" s="27">
        <v>28</v>
      </c>
      <c r="C34" s="28" t="s">
        <v>201</v>
      </c>
      <c r="D34" s="28" t="s">
        <v>202</v>
      </c>
      <c r="E34" s="33">
        <v>6</v>
      </c>
      <c r="F34" s="33">
        <v>2</v>
      </c>
    </row>
    <row r="35" spans="2:6" ht="15" customHeight="1" x14ac:dyDescent="0.35">
      <c r="B35" s="27">
        <v>29</v>
      </c>
      <c r="C35" s="27" t="s">
        <v>203</v>
      </c>
      <c r="D35" s="27" t="s">
        <v>204</v>
      </c>
      <c r="E35" s="33">
        <v>6</v>
      </c>
      <c r="F35" s="33">
        <v>2</v>
      </c>
    </row>
    <row r="36" spans="2:6" ht="15" customHeight="1" x14ac:dyDescent="0.35">
      <c r="B36" s="27">
        <v>30</v>
      </c>
      <c r="C36" s="28" t="s">
        <v>205</v>
      </c>
      <c r="D36" s="28" t="s">
        <v>206</v>
      </c>
      <c r="E36" s="33">
        <v>6</v>
      </c>
      <c r="F36" s="33">
        <v>2</v>
      </c>
    </row>
    <row r="37" spans="2:6" ht="15" customHeight="1" x14ac:dyDescent="0.35">
      <c r="B37" s="27">
        <v>31</v>
      </c>
      <c r="C37" s="27" t="s">
        <v>207</v>
      </c>
      <c r="D37" s="27" t="s">
        <v>208</v>
      </c>
      <c r="E37" s="33">
        <v>6</v>
      </c>
      <c r="F37" s="33">
        <v>2</v>
      </c>
    </row>
    <row r="38" spans="2:6" ht="15" customHeight="1" x14ac:dyDescent="0.35">
      <c r="B38" s="27">
        <v>32</v>
      </c>
      <c r="C38" s="28" t="s">
        <v>209</v>
      </c>
      <c r="D38" s="28" t="s">
        <v>210</v>
      </c>
      <c r="E38" s="33">
        <v>6</v>
      </c>
      <c r="F38" s="33">
        <v>2</v>
      </c>
    </row>
    <row r="39" spans="2:6" ht="15" customHeight="1" x14ac:dyDescent="0.35">
      <c r="B39" s="27">
        <v>33</v>
      </c>
      <c r="C39" s="27" t="s">
        <v>211</v>
      </c>
      <c r="D39" s="27" t="s">
        <v>212</v>
      </c>
      <c r="E39" s="33">
        <v>6</v>
      </c>
      <c r="F39" s="33">
        <v>2</v>
      </c>
    </row>
    <row r="40" spans="2:6" ht="15" customHeight="1" x14ac:dyDescent="0.35">
      <c r="C40" s="22"/>
      <c r="D40" s="23"/>
      <c r="E40" s="8">
        <f>SUM(E7:E39)</f>
        <v>198</v>
      </c>
      <c r="F40" s="8">
        <f>SUM(F7:F39)</f>
        <v>66</v>
      </c>
    </row>
    <row r="41" spans="2:6" ht="17.149999999999999" customHeight="1" x14ac:dyDescent="0.35">
      <c r="C41" s="22"/>
      <c r="D41" s="35" t="s">
        <v>1300</v>
      </c>
      <c r="E41" s="34">
        <f>SUM(E40,F40)</f>
        <v>264</v>
      </c>
      <c r="F41" s="29"/>
    </row>
    <row r="42" spans="2:6" ht="15" customHeight="1" x14ac:dyDescent="0.35">
      <c r="C42" s="22"/>
      <c r="D42" s="23"/>
    </row>
    <row r="43" spans="2:6" ht="15" customHeight="1" x14ac:dyDescent="0.35">
      <c r="C43" s="22" t="s">
        <v>137</v>
      </c>
      <c r="D43" s="23" t="s">
        <v>138</v>
      </c>
    </row>
    <row r="44" spans="2:6" ht="15" customHeight="1" x14ac:dyDescent="0.35">
      <c r="C44" s="22" t="s">
        <v>139</v>
      </c>
      <c r="D44" s="23" t="s">
        <v>140</v>
      </c>
      <c r="E44" s="53" t="s">
        <v>1296</v>
      </c>
      <c r="F44" s="53"/>
    </row>
    <row r="45" spans="2:6" ht="15" customHeight="1" x14ac:dyDescent="0.35">
      <c r="C45" s="22" t="s">
        <v>141</v>
      </c>
      <c r="D45" s="23" t="s">
        <v>142</v>
      </c>
      <c r="E45" s="53"/>
      <c r="F45" s="53"/>
    </row>
    <row r="46" spans="2:6" ht="15" customHeight="1" x14ac:dyDescent="0.35">
      <c r="C46" s="22" t="s">
        <v>17</v>
      </c>
      <c r="D46" s="23" t="s">
        <v>143</v>
      </c>
      <c r="E46" s="23"/>
      <c r="F46" s="23"/>
    </row>
    <row r="47" spans="2:6" ht="15" customHeight="1" x14ac:dyDescent="0.35">
      <c r="C47" s="22" t="s">
        <v>1</v>
      </c>
      <c r="D47" s="30" t="s">
        <v>5</v>
      </c>
      <c r="E47" s="24"/>
      <c r="F47" s="24"/>
    </row>
    <row r="48" spans="2:6" ht="15" customHeight="1" x14ac:dyDescent="0.35">
      <c r="B48" s="25" t="s">
        <v>144</v>
      </c>
      <c r="C48" s="25" t="s">
        <v>145</v>
      </c>
      <c r="D48" s="25" t="s">
        <v>146</v>
      </c>
      <c r="E48" s="26" t="s">
        <v>1298</v>
      </c>
      <c r="F48" s="26" t="s">
        <v>1299</v>
      </c>
    </row>
    <row r="49" spans="2:7" ht="15" customHeight="1" x14ac:dyDescent="0.35">
      <c r="B49" s="27">
        <v>1</v>
      </c>
      <c r="C49" s="27" t="s">
        <v>214</v>
      </c>
      <c r="D49" s="27" t="s">
        <v>215</v>
      </c>
      <c r="E49" s="33">
        <v>6</v>
      </c>
      <c r="F49" s="33">
        <v>2</v>
      </c>
    </row>
    <row r="50" spans="2:7" ht="15" customHeight="1" x14ac:dyDescent="0.35">
      <c r="B50" s="27">
        <v>2</v>
      </c>
      <c r="C50" s="28" t="s">
        <v>216</v>
      </c>
      <c r="D50" s="28" t="s">
        <v>217</v>
      </c>
      <c r="E50" s="33">
        <v>6</v>
      </c>
      <c r="F50" s="33">
        <v>2</v>
      </c>
    </row>
    <row r="51" spans="2:7" ht="15" customHeight="1" x14ac:dyDescent="0.35">
      <c r="B51" s="27">
        <v>3</v>
      </c>
      <c r="C51" s="28" t="s">
        <v>218</v>
      </c>
      <c r="D51" s="28" t="s">
        <v>219</v>
      </c>
      <c r="E51" s="33">
        <v>6</v>
      </c>
      <c r="F51" s="33">
        <v>2</v>
      </c>
    </row>
    <row r="52" spans="2:7" ht="15" customHeight="1" x14ac:dyDescent="0.35">
      <c r="B52" s="27">
        <v>4</v>
      </c>
      <c r="C52" s="27" t="s">
        <v>220</v>
      </c>
      <c r="D52" s="27" t="s">
        <v>221</v>
      </c>
      <c r="E52" s="33">
        <v>6</v>
      </c>
      <c r="F52" s="33">
        <v>2</v>
      </c>
    </row>
    <row r="53" spans="2:7" ht="15" customHeight="1" x14ac:dyDescent="0.35">
      <c r="B53" s="27">
        <v>5</v>
      </c>
      <c r="C53" s="28" t="s">
        <v>222</v>
      </c>
      <c r="D53" s="28" t="s">
        <v>223</v>
      </c>
      <c r="E53" s="36">
        <v>12</v>
      </c>
      <c r="F53" s="33">
        <v>2</v>
      </c>
      <c r="G53" s="38" t="s">
        <v>1301</v>
      </c>
    </row>
    <row r="54" spans="2:7" ht="15" customHeight="1" x14ac:dyDescent="0.35">
      <c r="B54" s="27">
        <v>6</v>
      </c>
      <c r="C54" s="27" t="s">
        <v>224</v>
      </c>
      <c r="D54" s="27" t="s">
        <v>225</v>
      </c>
      <c r="E54" s="33">
        <v>6</v>
      </c>
      <c r="F54" s="33">
        <v>2</v>
      </c>
    </row>
    <row r="55" spans="2:7" ht="15" customHeight="1" x14ac:dyDescent="0.35">
      <c r="B55" s="27">
        <v>7</v>
      </c>
      <c r="C55" s="28" t="s">
        <v>226</v>
      </c>
      <c r="D55" s="28" t="s">
        <v>227</v>
      </c>
      <c r="E55" s="36">
        <v>12</v>
      </c>
      <c r="F55" s="33">
        <v>2</v>
      </c>
      <c r="G55" s="38" t="s">
        <v>1301</v>
      </c>
    </row>
    <row r="56" spans="2:7" ht="15" customHeight="1" x14ac:dyDescent="0.35">
      <c r="B56" s="27">
        <v>8</v>
      </c>
      <c r="C56" s="28" t="s">
        <v>228</v>
      </c>
      <c r="D56" s="28" t="s">
        <v>229</v>
      </c>
      <c r="E56" s="36">
        <v>6</v>
      </c>
      <c r="F56" s="33">
        <v>2</v>
      </c>
    </row>
    <row r="57" spans="2:7" ht="15" customHeight="1" x14ac:dyDescent="0.35">
      <c r="B57" s="27">
        <v>9</v>
      </c>
      <c r="C57" s="27" t="s">
        <v>230</v>
      </c>
      <c r="D57" s="27" t="s">
        <v>231</v>
      </c>
      <c r="E57" s="36">
        <v>6</v>
      </c>
      <c r="F57" s="33">
        <v>2</v>
      </c>
    </row>
    <row r="58" spans="2:7" ht="15" customHeight="1" x14ac:dyDescent="0.35">
      <c r="B58" s="27">
        <v>10</v>
      </c>
      <c r="C58" s="28" t="s">
        <v>232</v>
      </c>
      <c r="D58" s="28" t="s">
        <v>233</v>
      </c>
      <c r="E58" s="36">
        <v>6</v>
      </c>
      <c r="F58" s="33">
        <v>2</v>
      </c>
    </row>
    <row r="59" spans="2:7" ht="15" customHeight="1" x14ac:dyDescent="0.35">
      <c r="B59" s="27">
        <v>11</v>
      </c>
      <c r="C59" s="27" t="s">
        <v>234</v>
      </c>
      <c r="D59" s="27" t="s">
        <v>235</v>
      </c>
      <c r="E59" s="36">
        <v>6</v>
      </c>
      <c r="F59" s="33">
        <v>2</v>
      </c>
    </row>
    <row r="60" spans="2:7" ht="15" customHeight="1" x14ac:dyDescent="0.35">
      <c r="B60" s="27">
        <v>12</v>
      </c>
      <c r="C60" s="28" t="s">
        <v>236</v>
      </c>
      <c r="D60" s="28" t="s">
        <v>237</v>
      </c>
      <c r="E60" s="36">
        <v>6</v>
      </c>
      <c r="F60" s="33">
        <v>2</v>
      </c>
    </row>
    <row r="61" spans="2:7" ht="15" customHeight="1" x14ac:dyDescent="0.35">
      <c r="B61" s="27">
        <v>13</v>
      </c>
      <c r="C61" s="27" t="s">
        <v>238</v>
      </c>
      <c r="D61" s="27" t="s">
        <v>239</v>
      </c>
      <c r="E61" s="36">
        <v>6</v>
      </c>
      <c r="F61" s="33">
        <v>2</v>
      </c>
    </row>
    <row r="62" spans="2:7" ht="15" customHeight="1" x14ac:dyDescent="0.35">
      <c r="B62" s="27">
        <v>14</v>
      </c>
      <c r="C62" s="28" t="s">
        <v>240</v>
      </c>
      <c r="D62" s="28" t="s">
        <v>241</v>
      </c>
      <c r="E62" s="36">
        <v>6</v>
      </c>
      <c r="F62" s="33">
        <v>2</v>
      </c>
    </row>
    <row r="63" spans="2:7" ht="15" customHeight="1" x14ac:dyDescent="0.35">
      <c r="B63" s="27">
        <v>15</v>
      </c>
      <c r="C63" s="27" t="s">
        <v>242</v>
      </c>
      <c r="D63" s="27" t="s">
        <v>243</v>
      </c>
      <c r="E63" s="36">
        <v>6</v>
      </c>
      <c r="F63" s="33">
        <v>2</v>
      </c>
    </row>
    <row r="64" spans="2:7" ht="15" customHeight="1" x14ac:dyDescent="0.35">
      <c r="B64" s="27">
        <v>16</v>
      </c>
      <c r="C64" s="28" t="s">
        <v>244</v>
      </c>
      <c r="D64" s="28" t="s">
        <v>245</v>
      </c>
      <c r="E64" s="36">
        <v>6</v>
      </c>
      <c r="F64" s="33">
        <v>2</v>
      </c>
    </row>
    <row r="65" spans="2:6" ht="15" customHeight="1" x14ac:dyDescent="0.35">
      <c r="B65" s="27">
        <v>17</v>
      </c>
      <c r="C65" s="27" t="s">
        <v>246</v>
      </c>
      <c r="D65" s="27" t="s">
        <v>247</v>
      </c>
      <c r="E65" s="36">
        <v>6</v>
      </c>
      <c r="F65" s="33">
        <v>2</v>
      </c>
    </row>
    <row r="66" spans="2:6" ht="15" customHeight="1" x14ac:dyDescent="0.35">
      <c r="B66" s="27">
        <v>18</v>
      </c>
      <c r="C66" s="28" t="s">
        <v>248</v>
      </c>
      <c r="D66" s="28" t="s">
        <v>249</v>
      </c>
      <c r="E66" s="36">
        <v>6</v>
      </c>
      <c r="F66" s="33">
        <v>2</v>
      </c>
    </row>
    <row r="67" spans="2:6" ht="15" customHeight="1" x14ac:dyDescent="0.35">
      <c r="B67" s="27">
        <v>19</v>
      </c>
      <c r="C67" s="27" t="s">
        <v>250</v>
      </c>
      <c r="D67" s="27" t="s">
        <v>251</v>
      </c>
      <c r="E67" s="36">
        <v>6</v>
      </c>
      <c r="F67" s="33">
        <v>2</v>
      </c>
    </row>
    <row r="68" spans="2:6" ht="15" customHeight="1" x14ac:dyDescent="0.35">
      <c r="B68" s="27">
        <v>20</v>
      </c>
      <c r="C68" s="28" t="s">
        <v>252</v>
      </c>
      <c r="D68" s="28" t="s">
        <v>253</v>
      </c>
      <c r="E68" s="36">
        <v>6</v>
      </c>
      <c r="F68" s="33">
        <v>2</v>
      </c>
    </row>
    <row r="69" spans="2:6" ht="15" customHeight="1" x14ac:dyDescent="0.35">
      <c r="B69" s="27">
        <v>21</v>
      </c>
      <c r="C69" s="27" t="s">
        <v>254</v>
      </c>
      <c r="D69" s="27" t="s">
        <v>255</v>
      </c>
      <c r="E69" s="36">
        <v>6</v>
      </c>
      <c r="F69" s="33">
        <v>2</v>
      </c>
    </row>
    <row r="70" spans="2:6" ht="15" customHeight="1" x14ac:dyDescent="0.35">
      <c r="B70" s="27">
        <v>22</v>
      </c>
      <c r="C70" s="28" t="s">
        <v>256</v>
      </c>
      <c r="D70" s="28" t="s">
        <v>257</v>
      </c>
      <c r="E70" s="36">
        <v>6</v>
      </c>
      <c r="F70" s="33">
        <v>2</v>
      </c>
    </row>
    <row r="71" spans="2:6" ht="15" customHeight="1" x14ac:dyDescent="0.35">
      <c r="B71" s="27">
        <v>23</v>
      </c>
      <c r="C71" s="27" t="s">
        <v>258</v>
      </c>
      <c r="D71" s="27" t="s">
        <v>259</v>
      </c>
      <c r="E71" s="36">
        <v>6</v>
      </c>
      <c r="F71" s="33">
        <v>2</v>
      </c>
    </row>
    <row r="72" spans="2:6" ht="15" customHeight="1" x14ac:dyDescent="0.35">
      <c r="B72" s="27">
        <v>24</v>
      </c>
      <c r="C72" s="28" t="s">
        <v>260</v>
      </c>
      <c r="D72" s="28" t="s">
        <v>261</v>
      </c>
      <c r="E72" s="36">
        <v>6</v>
      </c>
      <c r="F72" s="33">
        <v>2</v>
      </c>
    </row>
    <row r="73" spans="2:6" ht="15" customHeight="1" x14ac:dyDescent="0.35">
      <c r="B73" s="27">
        <v>25</v>
      </c>
      <c r="C73" s="27" t="s">
        <v>262</v>
      </c>
      <c r="D73" s="27" t="s">
        <v>263</v>
      </c>
      <c r="E73" s="36">
        <v>6</v>
      </c>
      <c r="F73" s="33">
        <v>2</v>
      </c>
    </row>
    <row r="74" spans="2:6" ht="15" customHeight="1" x14ac:dyDescent="0.35">
      <c r="B74" s="27">
        <v>26</v>
      </c>
      <c r="C74" s="28" t="s">
        <v>264</v>
      </c>
      <c r="D74" s="28" t="s">
        <v>265</v>
      </c>
      <c r="E74" s="36">
        <v>6</v>
      </c>
      <c r="F74" s="33">
        <v>2</v>
      </c>
    </row>
    <row r="75" spans="2:6" ht="15" customHeight="1" x14ac:dyDescent="0.35">
      <c r="B75" s="27">
        <v>27</v>
      </c>
      <c r="C75" s="27" t="s">
        <v>266</v>
      </c>
      <c r="D75" s="27" t="s">
        <v>267</v>
      </c>
      <c r="E75" s="36">
        <v>6</v>
      </c>
      <c r="F75" s="33">
        <v>2</v>
      </c>
    </row>
    <row r="76" spans="2:6" ht="15" customHeight="1" x14ac:dyDescent="0.35">
      <c r="B76" s="27">
        <v>28</v>
      </c>
      <c r="C76" s="28" t="s">
        <v>268</v>
      </c>
      <c r="D76" s="28" t="s">
        <v>269</v>
      </c>
      <c r="E76" s="36">
        <v>6</v>
      </c>
      <c r="F76" s="33">
        <v>2</v>
      </c>
    </row>
    <row r="77" spans="2:6" ht="15" customHeight="1" x14ac:dyDescent="0.35">
      <c r="B77" s="27">
        <v>29</v>
      </c>
      <c r="C77" s="27" t="s">
        <v>270</v>
      </c>
      <c r="D77" s="27" t="s">
        <v>271</v>
      </c>
      <c r="E77" s="36">
        <v>6</v>
      </c>
      <c r="F77" s="33">
        <v>2</v>
      </c>
    </row>
    <row r="78" spans="2:6" ht="15" customHeight="1" x14ac:dyDescent="0.35">
      <c r="B78" s="27">
        <v>30</v>
      </c>
      <c r="C78" s="28" t="s">
        <v>272</v>
      </c>
      <c r="D78" s="28" t="s">
        <v>273</v>
      </c>
      <c r="E78" s="36">
        <v>6</v>
      </c>
      <c r="F78" s="33">
        <v>2</v>
      </c>
    </row>
    <row r="79" spans="2:6" ht="15" customHeight="1" x14ac:dyDescent="0.35">
      <c r="B79" s="27">
        <v>31</v>
      </c>
      <c r="C79" s="27" t="s">
        <v>274</v>
      </c>
      <c r="D79" s="27" t="s">
        <v>275</v>
      </c>
      <c r="E79" s="36">
        <v>6</v>
      </c>
      <c r="F79" s="33">
        <v>2</v>
      </c>
    </row>
    <row r="80" spans="2:6" ht="15" customHeight="1" x14ac:dyDescent="0.35">
      <c r="B80" s="27">
        <v>32</v>
      </c>
      <c r="C80" s="28" t="s">
        <v>276</v>
      </c>
      <c r="D80" s="28" t="s">
        <v>277</v>
      </c>
      <c r="E80" s="36">
        <v>6</v>
      </c>
      <c r="F80" s="33">
        <v>2</v>
      </c>
    </row>
    <row r="81" spans="2:6" ht="15" customHeight="1" x14ac:dyDescent="0.35">
      <c r="B81" s="27">
        <v>33</v>
      </c>
      <c r="C81" s="27" t="s">
        <v>278</v>
      </c>
      <c r="D81" s="27" t="s">
        <v>279</v>
      </c>
      <c r="E81" s="36">
        <v>6</v>
      </c>
      <c r="F81" s="33">
        <v>2</v>
      </c>
    </row>
    <row r="82" spans="2:6" ht="15" customHeight="1" x14ac:dyDescent="0.35">
      <c r="B82" s="27">
        <v>34</v>
      </c>
      <c r="C82" s="27" t="s">
        <v>280</v>
      </c>
      <c r="D82" s="27" t="s">
        <v>281</v>
      </c>
      <c r="E82" s="36">
        <v>6</v>
      </c>
      <c r="F82" s="33">
        <v>2</v>
      </c>
    </row>
    <row r="83" spans="2:6" ht="15" customHeight="1" x14ac:dyDescent="0.35">
      <c r="B83" s="27">
        <v>35</v>
      </c>
      <c r="C83" s="28" t="s">
        <v>282</v>
      </c>
      <c r="D83" s="28" t="s">
        <v>283</v>
      </c>
      <c r="E83" s="36">
        <v>6</v>
      </c>
      <c r="F83" s="33">
        <v>2</v>
      </c>
    </row>
    <row r="84" spans="2:6" ht="15" customHeight="1" x14ac:dyDescent="0.35">
      <c r="B84" s="27">
        <v>36</v>
      </c>
      <c r="C84" s="27" t="s">
        <v>284</v>
      </c>
      <c r="D84" s="27" t="s">
        <v>285</v>
      </c>
      <c r="E84" s="36">
        <v>6</v>
      </c>
      <c r="F84" s="33">
        <v>2</v>
      </c>
    </row>
    <row r="85" spans="2:6" ht="15" customHeight="1" x14ac:dyDescent="0.35">
      <c r="B85" s="27">
        <v>37</v>
      </c>
      <c r="C85" s="28" t="s">
        <v>286</v>
      </c>
      <c r="D85" s="28" t="s">
        <v>287</v>
      </c>
      <c r="E85" s="36">
        <v>6</v>
      </c>
      <c r="F85" s="33">
        <v>2</v>
      </c>
    </row>
    <row r="86" spans="2:6" ht="15" customHeight="1" x14ac:dyDescent="0.35">
      <c r="B86" s="27">
        <v>38</v>
      </c>
      <c r="C86" s="27" t="s">
        <v>288</v>
      </c>
      <c r="D86" s="27" t="s">
        <v>289</v>
      </c>
      <c r="E86" s="36">
        <v>6</v>
      </c>
      <c r="F86" s="33">
        <v>2</v>
      </c>
    </row>
    <row r="87" spans="2:6" ht="15" customHeight="1" x14ac:dyDescent="0.35">
      <c r="E87" s="8">
        <f>SUM(E49:E86)</f>
        <v>240</v>
      </c>
      <c r="F87" s="8">
        <f>SUM(F49:F86)</f>
        <v>76</v>
      </c>
    </row>
    <row r="88" spans="2:6" ht="17.149999999999999" customHeight="1" x14ac:dyDescent="0.35">
      <c r="D88" s="35" t="s">
        <v>1302</v>
      </c>
      <c r="E88" s="34">
        <f>SUM(E87,F87)</f>
        <v>316</v>
      </c>
      <c r="F88" s="29"/>
    </row>
    <row r="89" spans="2:6" ht="17.149999999999999" customHeight="1" x14ac:dyDescent="0.35">
      <c r="D89" s="29"/>
      <c r="E89" s="29"/>
      <c r="F89" s="29"/>
    </row>
    <row r="90" spans="2:6" ht="15" customHeight="1" x14ac:dyDescent="0.35"/>
    <row r="91" spans="2:6" ht="15" customHeight="1" x14ac:dyDescent="0.35"/>
    <row r="92" spans="2:6" ht="15" customHeight="1" x14ac:dyDescent="0.35">
      <c r="C92" s="22" t="s">
        <v>137</v>
      </c>
      <c r="D92" s="23" t="s">
        <v>138</v>
      </c>
    </row>
    <row r="93" spans="2:6" ht="15" customHeight="1" x14ac:dyDescent="0.35">
      <c r="C93" s="22" t="s">
        <v>139</v>
      </c>
      <c r="D93" s="23" t="s">
        <v>140</v>
      </c>
      <c r="E93" s="53" t="s">
        <v>1296</v>
      </c>
      <c r="F93" s="53"/>
    </row>
    <row r="94" spans="2:6" ht="15" customHeight="1" x14ac:dyDescent="0.35">
      <c r="C94" s="22" t="s">
        <v>141</v>
      </c>
      <c r="D94" s="23" t="s">
        <v>142</v>
      </c>
      <c r="E94" s="53"/>
      <c r="F94" s="53"/>
    </row>
    <row r="95" spans="2:6" ht="15" customHeight="1" x14ac:dyDescent="0.35">
      <c r="C95" s="22" t="s">
        <v>17</v>
      </c>
      <c r="D95" s="23" t="s">
        <v>143</v>
      </c>
      <c r="E95" s="23"/>
      <c r="F95" s="23"/>
    </row>
    <row r="96" spans="2:6" ht="15" customHeight="1" x14ac:dyDescent="0.35">
      <c r="C96" s="22" t="s">
        <v>1</v>
      </c>
      <c r="D96" s="30" t="s">
        <v>6</v>
      </c>
      <c r="E96" s="24"/>
      <c r="F96" s="24"/>
    </row>
    <row r="97" spans="2:6" ht="15" customHeight="1" x14ac:dyDescent="0.35">
      <c r="B97" s="25" t="s">
        <v>144</v>
      </c>
      <c r="C97" s="25" t="s">
        <v>145</v>
      </c>
      <c r="D97" s="25" t="s">
        <v>146</v>
      </c>
      <c r="E97" s="26" t="s">
        <v>1298</v>
      </c>
      <c r="F97" s="26" t="s">
        <v>1299</v>
      </c>
    </row>
    <row r="98" spans="2:6" ht="15" customHeight="1" x14ac:dyDescent="0.35">
      <c r="B98" s="28">
        <v>1</v>
      </c>
      <c r="C98" s="28" t="s">
        <v>290</v>
      </c>
      <c r="D98" s="28" t="s">
        <v>291</v>
      </c>
      <c r="E98" s="36">
        <v>6</v>
      </c>
      <c r="F98" s="36">
        <v>2</v>
      </c>
    </row>
    <row r="99" spans="2:6" ht="15" customHeight="1" x14ac:dyDescent="0.35">
      <c r="B99" s="28">
        <v>2</v>
      </c>
      <c r="C99" s="27" t="s">
        <v>292</v>
      </c>
      <c r="D99" s="27" t="s">
        <v>293</v>
      </c>
      <c r="E99" s="36">
        <v>6</v>
      </c>
      <c r="F99" s="36">
        <v>2</v>
      </c>
    </row>
    <row r="100" spans="2:6" ht="15" customHeight="1" x14ac:dyDescent="0.35">
      <c r="B100" s="28">
        <v>3</v>
      </c>
      <c r="C100" s="28" t="s">
        <v>294</v>
      </c>
      <c r="D100" s="28" t="s">
        <v>295</v>
      </c>
      <c r="E100" s="36">
        <v>6</v>
      </c>
      <c r="F100" s="36">
        <v>2</v>
      </c>
    </row>
    <row r="101" spans="2:6" ht="15" customHeight="1" x14ac:dyDescent="0.35">
      <c r="B101" s="28">
        <v>4</v>
      </c>
      <c r="C101" s="27" t="s">
        <v>296</v>
      </c>
      <c r="D101" s="27" t="s">
        <v>297</v>
      </c>
      <c r="E101" s="36">
        <v>6</v>
      </c>
      <c r="F101" s="36">
        <v>2</v>
      </c>
    </row>
    <row r="102" spans="2:6" ht="15" customHeight="1" x14ac:dyDescent="0.35">
      <c r="B102" s="28">
        <v>5</v>
      </c>
      <c r="C102" s="28" t="s">
        <v>298</v>
      </c>
      <c r="D102" s="28" t="s">
        <v>299</v>
      </c>
      <c r="E102" s="36">
        <v>6</v>
      </c>
      <c r="F102" s="36">
        <v>2</v>
      </c>
    </row>
    <row r="103" spans="2:6" ht="15" customHeight="1" x14ac:dyDescent="0.35">
      <c r="B103" s="28">
        <v>6</v>
      </c>
      <c r="C103" s="27" t="s">
        <v>300</v>
      </c>
      <c r="D103" s="27" t="s">
        <v>301</v>
      </c>
      <c r="E103" s="36">
        <v>6</v>
      </c>
      <c r="F103" s="36">
        <v>2</v>
      </c>
    </row>
    <row r="104" spans="2:6" ht="15" customHeight="1" x14ac:dyDescent="0.35">
      <c r="B104" s="28">
        <v>7</v>
      </c>
      <c r="C104" s="27" t="s">
        <v>302</v>
      </c>
      <c r="D104" s="27" t="s">
        <v>303</v>
      </c>
      <c r="E104" s="36">
        <v>6</v>
      </c>
      <c r="F104" s="36">
        <v>2</v>
      </c>
    </row>
    <row r="105" spans="2:6" ht="15" customHeight="1" x14ac:dyDescent="0.35">
      <c r="B105" s="28">
        <v>8</v>
      </c>
      <c r="C105" s="28" t="s">
        <v>304</v>
      </c>
      <c r="D105" s="28" t="s">
        <v>305</v>
      </c>
      <c r="E105" s="36">
        <v>6</v>
      </c>
      <c r="F105" s="36">
        <v>2</v>
      </c>
    </row>
    <row r="106" spans="2:6" ht="15" customHeight="1" x14ac:dyDescent="0.35">
      <c r="B106" s="28">
        <v>9</v>
      </c>
      <c r="C106" s="27" t="s">
        <v>306</v>
      </c>
      <c r="D106" s="27" t="s">
        <v>307</v>
      </c>
      <c r="E106" s="36">
        <v>6</v>
      </c>
      <c r="F106" s="36">
        <v>2</v>
      </c>
    </row>
    <row r="107" spans="2:6" ht="15" customHeight="1" x14ac:dyDescent="0.35">
      <c r="B107" s="28">
        <v>10</v>
      </c>
      <c r="C107" s="28" t="s">
        <v>308</v>
      </c>
      <c r="D107" s="28" t="s">
        <v>309</v>
      </c>
      <c r="E107" s="36"/>
      <c r="F107" s="36">
        <v>2</v>
      </c>
    </row>
    <row r="108" spans="2:6" ht="15" customHeight="1" x14ac:dyDescent="0.35">
      <c r="B108" s="28">
        <v>11</v>
      </c>
      <c r="C108" s="27" t="s">
        <v>310</v>
      </c>
      <c r="D108" s="27" t="s">
        <v>311</v>
      </c>
      <c r="E108" s="36">
        <v>6</v>
      </c>
      <c r="F108" s="36">
        <v>2</v>
      </c>
    </row>
    <row r="109" spans="2:6" ht="15" customHeight="1" x14ac:dyDescent="0.35">
      <c r="B109" s="28">
        <v>12</v>
      </c>
      <c r="C109" s="28" t="s">
        <v>312</v>
      </c>
      <c r="D109" s="28" t="s">
        <v>313</v>
      </c>
      <c r="E109" s="36">
        <v>6</v>
      </c>
      <c r="F109" s="36">
        <v>2</v>
      </c>
    </row>
    <row r="110" spans="2:6" ht="15" customHeight="1" x14ac:dyDescent="0.35">
      <c r="B110" s="28">
        <v>13</v>
      </c>
      <c r="C110" s="27" t="s">
        <v>314</v>
      </c>
      <c r="D110" s="27" t="s">
        <v>315</v>
      </c>
      <c r="E110" s="36"/>
      <c r="F110" s="36">
        <v>2</v>
      </c>
    </row>
    <row r="111" spans="2:6" ht="15" customHeight="1" x14ac:dyDescent="0.35">
      <c r="B111" s="28">
        <v>14</v>
      </c>
      <c r="C111" s="27" t="s">
        <v>316</v>
      </c>
      <c r="D111" s="27" t="s">
        <v>317</v>
      </c>
      <c r="E111" s="36">
        <v>6</v>
      </c>
      <c r="F111" s="36">
        <v>2</v>
      </c>
    </row>
    <row r="112" spans="2:6" ht="15" customHeight="1" x14ac:dyDescent="0.35">
      <c r="B112" s="28">
        <v>15</v>
      </c>
      <c r="C112" s="28" t="s">
        <v>318</v>
      </c>
      <c r="D112" s="28" t="s">
        <v>319</v>
      </c>
      <c r="E112" s="36">
        <v>6</v>
      </c>
      <c r="F112" s="36">
        <v>2</v>
      </c>
    </row>
    <row r="113" spans="2:6" ht="15" customHeight="1" x14ac:dyDescent="0.35">
      <c r="B113" s="28">
        <v>16</v>
      </c>
      <c r="C113" s="27" t="s">
        <v>320</v>
      </c>
      <c r="D113" s="27" t="s">
        <v>321</v>
      </c>
      <c r="E113" s="36">
        <v>6</v>
      </c>
      <c r="F113" s="36">
        <v>2</v>
      </c>
    </row>
    <row r="114" spans="2:6" ht="15" customHeight="1" x14ac:dyDescent="0.35">
      <c r="B114" s="28">
        <v>17</v>
      </c>
      <c r="C114" s="28" t="s">
        <v>322</v>
      </c>
      <c r="D114" s="28" t="s">
        <v>323</v>
      </c>
      <c r="E114" s="36">
        <v>6</v>
      </c>
      <c r="F114" s="36">
        <v>2</v>
      </c>
    </row>
    <row r="115" spans="2:6" ht="15" customHeight="1" x14ac:dyDescent="0.35">
      <c r="B115" s="28">
        <v>18</v>
      </c>
      <c r="C115" s="27" t="s">
        <v>324</v>
      </c>
      <c r="D115" s="27" t="s">
        <v>325</v>
      </c>
      <c r="E115" s="36">
        <v>6</v>
      </c>
      <c r="F115" s="36">
        <v>2</v>
      </c>
    </row>
    <row r="116" spans="2:6" ht="15" customHeight="1" x14ac:dyDescent="0.35">
      <c r="B116" s="28">
        <v>19</v>
      </c>
      <c r="C116" s="28" t="s">
        <v>326</v>
      </c>
      <c r="D116" s="28" t="s">
        <v>327</v>
      </c>
      <c r="E116" s="36">
        <v>6</v>
      </c>
      <c r="F116" s="36">
        <v>2</v>
      </c>
    </row>
    <row r="117" spans="2:6" ht="15" customHeight="1" x14ac:dyDescent="0.35">
      <c r="B117" s="28">
        <v>20</v>
      </c>
      <c r="C117" s="27" t="s">
        <v>328</v>
      </c>
      <c r="D117" s="27" t="s">
        <v>329</v>
      </c>
      <c r="E117" s="36">
        <v>6</v>
      </c>
      <c r="F117" s="36">
        <v>2</v>
      </c>
    </row>
    <row r="118" spans="2:6" ht="15" customHeight="1" x14ac:dyDescent="0.35">
      <c r="B118" s="28">
        <v>21</v>
      </c>
      <c r="C118" s="27" t="s">
        <v>330</v>
      </c>
      <c r="D118" s="27" t="s">
        <v>331</v>
      </c>
      <c r="E118" s="36">
        <v>6</v>
      </c>
      <c r="F118" s="36">
        <v>2</v>
      </c>
    </row>
    <row r="119" spans="2:6" ht="15" customHeight="1" x14ac:dyDescent="0.35">
      <c r="B119" s="28">
        <v>22</v>
      </c>
      <c r="C119" s="28" t="s">
        <v>332</v>
      </c>
      <c r="D119" s="28" t="s">
        <v>333</v>
      </c>
      <c r="E119" s="36">
        <v>6</v>
      </c>
      <c r="F119" s="36">
        <v>2</v>
      </c>
    </row>
    <row r="120" spans="2:6" ht="15" customHeight="1" x14ac:dyDescent="0.35">
      <c r="B120" s="28">
        <v>23</v>
      </c>
      <c r="C120" s="27" t="s">
        <v>334</v>
      </c>
      <c r="D120" s="27" t="s">
        <v>335</v>
      </c>
      <c r="E120" s="36">
        <v>6</v>
      </c>
      <c r="F120" s="36">
        <v>2</v>
      </c>
    </row>
    <row r="121" spans="2:6" ht="15" customHeight="1" x14ac:dyDescent="0.35">
      <c r="B121" s="28">
        <v>24</v>
      </c>
      <c r="C121" s="28" t="s">
        <v>336</v>
      </c>
      <c r="D121" s="28" t="s">
        <v>337</v>
      </c>
      <c r="E121" s="36">
        <v>6</v>
      </c>
      <c r="F121" s="36">
        <v>2</v>
      </c>
    </row>
    <row r="122" spans="2:6" ht="15" customHeight="1" x14ac:dyDescent="0.35">
      <c r="B122" s="28">
        <v>25</v>
      </c>
      <c r="C122" s="27" t="s">
        <v>338</v>
      </c>
      <c r="D122" s="27" t="s">
        <v>339</v>
      </c>
      <c r="E122" s="36">
        <v>6</v>
      </c>
      <c r="F122" s="36">
        <v>2</v>
      </c>
    </row>
    <row r="123" spans="2:6" ht="15" customHeight="1" x14ac:dyDescent="0.35">
      <c r="B123" s="28">
        <v>26</v>
      </c>
      <c r="C123" s="28" t="s">
        <v>340</v>
      </c>
      <c r="D123" s="28" t="s">
        <v>341</v>
      </c>
      <c r="E123" s="36">
        <v>6</v>
      </c>
      <c r="F123" s="36">
        <v>2</v>
      </c>
    </row>
    <row r="124" spans="2:6" ht="15" customHeight="1" x14ac:dyDescent="0.35">
      <c r="B124" s="28">
        <v>27</v>
      </c>
      <c r="C124" s="27" t="s">
        <v>342</v>
      </c>
      <c r="D124" s="27" t="s">
        <v>343</v>
      </c>
      <c r="E124" s="36">
        <v>6</v>
      </c>
      <c r="F124" s="36">
        <v>2</v>
      </c>
    </row>
    <row r="125" spans="2:6" ht="15" customHeight="1" x14ac:dyDescent="0.35">
      <c r="B125" s="28">
        <v>28</v>
      </c>
      <c r="C125" s="28" t="s">
        <v>344</v>
      </c>
      <c r="D125" s="28" t="s">
        <v>345</v>
      </c>
      <c r="E125" s="36">
        <v>6</v>
      </c>
      <c r="F125" s="36">
        <v>2</v>
      </c>
    </row>
    <row r="126" spans="2:6" ht="15" customHeight="1" x14ac:dyDescent="0.35">
      <c r="B126" s="28">
        <v>29</v>
      </c>
      <c r="C126" s="27" t="s">
        <v>346</v>
      </c>
      <c r="D126" s="27" t="s">
        <v>347</v>
      </c>
      <c r="E126" s="36">
        <v>6</v>
      </c>
      <c r="F126" s="36">
        <v>2</v>
      </c>
    </row>
    <row r="127" spans="2:6" ht="15" customHeight="1" x14ac:dyDescent="0.35">
      <c r="B127" s="28">
        <v>30</v>
      </c>
      <c r="C127" s="28" t="s">
        <v>348</v>
      </c>
      <c r="D127" s="28" t="s">
        <v>349</v>
      </c>
      <c r="E127" s="36">
        <v>6</v>
      </c>
      <c r="F127" s="36">
        <v>2</v>
      </c>
    </row>
    <row r="128" spans="2:6" ht="15" customHeight="1" x14ac:dyDescent="0.35">
      <c r="B128" s="28">
        <v>31</v>
      </c>
      <c r="C128" s="27" t="s">
        <v>350</v>
      </c>
      <c r="D128" s="27" t="s">
        <v>351</v>
      </c>
      <c r="E128" s="36">
        <v>6</v>
      </c>
      <c r="F128" s="36">
        <v>2</v>
      </c>
    </row>
    <row r="129" spans="2:6" ht="15" customHeight="1" x14ac:dyDescent="0.35">
      <c r="B129" s="28">
        <v>32</v>
      </c>
      <c r="C129" s="28" t="s">
        <v>352</v>
      </c>
      <c r="D129" s="28" t="s">
        <v>353</v>
      </c>
      <c r="E129" s="36"/>
      <c r="F129" s="36">
        <v>2</v>
      </c>
    </row>
    <row r="130" spans="2:6" ht="15" customHeight="1" x14ac:dyDescent="0.35">
      <c r="B130" s="28">
        <v>33</v>
      </c>
      <c r="C130" s="27" t="s">
        <v>354</v>
      </c>
      <c r="D130" s="27" t="s">
        <v>355</v>
      </c>
      <c r="E130" s="36">
        <v>6</v>
      </c>
      <c r="F130" s="36">
        <v>2</v>
      </c>
    </row>
    <row r="131" spans="2:6" ht="15" customHeight="1" x14ac:dyDescent="0.35">
      <c r="B131" s="28">
        <v>34</v>
      </c>
      <c r="C131" s="28" t="s">
        <v>356</v>
      </c>
      <c r="D131" s="28" t="s">
        <v>357</v>
      </c>
      <c r="E131" s="36">
        <v>6</v>
      </c>
      <c r="F131" s="36">
        <v>2</v>
      </c>
    </row>
    <row r="132" spans="2:6" ht="15" customHeight="1" x14ac:dyDescent="0.35">
      <c r="B132" s="28">
        <v>35</v>
      </c>
      <c r="C132" s="28" t="s">
        <v>358</v>
      </c>
      <c r="D132" s="28" t="s">
        <v>359</v>
      </c>
      <c r="E132" s="36">
        <v>6</v>
      </c>
      <c r="F132" s="36">
        <v>2</v>
      </c>
    </row>
    <row r="133" spans="2:6" ht="15" customHeight="1" x14ac:dyDescent="0.35">
      <c r="B133" s="28">
        <v>36</v>
      </c>
      <c r="C133" s="27" t="s">
        <v>360</v>
      </c>
      <c r="D133" s="27" t="s">
        <v>361</v>
      </c>
      <c r="E133" s="36">
        <v>6</v>
      </c>
      <c r="F133" s="36">
        <v>2</v>
      </c>
    </row>
    <row r="134" spans="2:6" ht="15" customHeight="1" x14ac:dyDescent="0.35">
      <c r="B134" s="28">
        <v>37</v>
      </c>
      <c r="C134" s="28" t="s">
        <v>362</v>
      </c>
      <c r="D134" s="28" t="s">
        <v>363</v>
      </c>
      <c r="E134" s="36">
        <v>6</v>
      </c>
      <c r="F134" s="36">
        <v>2</v>
      </c>
    </row>
    <row r="135" spans="2:6" ht="15" customHeight="1" x14ac:dyDescent="0.35">
      <c r="E135" s="8">
        <f>SUM(E98:E134)</f>
        <v>204</v>
      </c>
      <c r="F135" s="8">
        <f>SUM(F98:F134)</f>
        <v>74</v>
      </c>
    </row>
    <row r="136" spans="2:6" ht="17.149999999999999" customHeight="1" x14ac:dyDescent="0.35">
      <c r="D136" s="35" t="s">
        <v>1302</v>
      </c>
      <c r="E136" s="34">
        <f>SUM(E135,F135)</f>
        <v>278</v>
      </c>
      <c r="F136" s="29"/>
    </row>
    <row r="137" spans="2:6" ht="17.149999999999999" customHeight="1" x14ac:dyDescent="0.35">
      <c r="D137" s="29"/>
      <c r="E137" s="29"/>
      <c r="F137" s="29"/>
    </row>
    <row r="138" spans="2:6" ht="15" customHeight="1" x14ac:dyDescent="0.35"/>
    <row r="139" spans="2:6" ht="15" customHeight="1" x14ac:dyDescent="0.35">
      <c r="C139" s="22" t="s">
        <v>137</v>
      </c>
      <c r="D139" s="23" t="s">
        <v>138</v>
      </c>
    </row>
    <row r="140" spans="2:6" ht="15" customHeight="1" x14ac:dyDescent="0.35">
      <c r="C140" s="22" t="s">
        <v>139</v>
      </c>
      <c r="D140" s="23" t="s">
        <v>140</v>
      </c>
      <c r="E140" s="53" t="s">
        <v>1296</v>
      </c>
      <c r="F140" s="53"/>
    </row>
    <row r="141" spans="2:6" ht="15" customHeight="1" x14ac:dyDescent="0.35">
      <c r="C141" s="22" t="s">
        <v>141</v>
      </c>
      <c r="D141" s="23" t="s">
        <v>142</v>
      </c>
      <c r="E141" s="53"/>
      <c r="F141" s="53"/>
    </row>
    <row r="142" spans="2:6" ht="15" customHeight="1" x14ac:dyDescent="0.35">
      <c r="C142" s="22" t="s">
        <v>17</v>
      </c>
      <c r="D142" s="23" t="s">
        <v>143</v>
      </c>
      <c r="E142" s="23"/>
      <c r="F142" s="23"/>
    </row>
    <row r="143" spans="2:6" ht="15" customHeight="1" x14ac:dyDescent="0.35">
      <c r="C143" s="22" t="s">
        <v>1</v>
      </c>
      <c r="D143" s="30" t="s">
        <v>7</v>
      </c>
      <c r="E143" s="24"/>
      <c r="F143" s="24"/>
    </row>
    <row r="144" spans="2:6" ht="15" customHeight="1" x14ac:dyDescent="0.35">
      <c r="B144" s="25" t="s">
        <v>144</v>
      </c>
      <c r="C144" s="25" t="s">
        <v>145</v>
      </c>
      <c r="D144" s="25" t="s">
        <v>146</v>
      </c>
      <c r="E144" s="26" t="s">
        <v>1303</v>
      </c>
      <c r="F144" s="39">
        <v>2</v>
      </c>
    </row>
    <row r="145" spans="2:6" ht="15" customHeight="1" x14ac:dyDescent="0.35">
      <c r="B145" s="27">
        <v>1</v>
      </c>
      <c r="C145" s="27" t="s">
        <v>364</v>
      </c>
      <c r="D145" s="27" t="s">
        <v>365</v>
      </c>
      <c r="E145" s="33">
        <v>6</v>
      </c>
      <c r="F145" s="33">
        <v>2</v>
      </c>
    </row>
    <row r="146" spans="2:6" ht="15" customHeight="1" x14ac:dyDescent="0.35">
      <c r="B146" s="27">
        <v>2</v>
      </c>
      <c r="C146" s="28" t="s">
        <v>366</v>
      </c>
      <c r="D146" s="28" t="s">
        <v>367</v>
      </c>
      <c r="E146" s="33">
        <v>6</v>
      </c>
      <c r="F146" s="33">
        <v>2</v>
      </c>
    </row>
    <row r="147" spans="2:6" ht="15" customHeight="1" x14ac:dyDescent="0.35">
      <c r="B147" s="27">
        <v>3</v>
      </c>
      <c r="C147" s="27" t="s">
        <v>368</v>
      </c>
      <c r="D147" s="27" t="s">
        <v>369</v>
      </c>
      <c r="E147" s="33">
        <v>6</v>
      </c>
      <c r="F147" s="33">
        <v>2</v>
      </c>
    </row>
    <row r="148" spans="2:6" ht="15" customHeight="1" x14ac:dyDescent="0.35">
      <c r="B148" s="27">
        <v>4</v>
      </c>
      <c r="C148" s="28" t="s">
        <v>370</v>
      </c>
      <c r="D148" s="28" t="s">
        <v>371</v>
      </c>
      <c r="E148" s="33">
        <v>6</v>
      </c>
      <c r="F148" s="33">
        <v>2</v>
      </c>
    </row>
    <row r="149" spans="2:6" ht="15" customHeight="1" x14ac:dyDescent="0.35">
      <c r="B149" s="27">
        <v>5</v>
      </c>
      <c r="C149" s="27" t="s">
        <v>372</v>
      </c>
      <c r="D149" s="27" t="s">
        <v>373</v>
      </c>
      <c r="E149" s="33"/>
      <c r="F149" s="33">
        <v>2</v>
      </c>
    </row>
    <row r="150" spans="2:6" ht="15" customHeight="1" x14ac:dyDescent="0.35">
      <c r="B150" s="27">
        <v>6</v>
      </c>
      <c r="C150" s="28" t="s">
        <v>374</v>
      </c>
      <c r="D150" s="28" t="s">
        <v>375</v>
      </c>
      <c r="E150" s="33">
        <v>6</v>
      </c>
      <c r="F150" s="33">
        <v>2</v>
      </c>
    </row>
    <row r="151" spans="2:6" ht="15" customHeight="1" x14ac:dyDescent="0.35">
      <c r="B151" s="27">
        <v>7</v>
      </c>
      <c r="C151" s="27" t="s">
        <v>376</v>
      </c>
      <c r="D151" s="27" t="s">
        <v>377</v>
      </c>
      <c r="E151" s="33">
        <v>6</v>
      </c>
      <c r="F151" s="33">
        <v>2</v>
      </c>
    </row>
    <row r="152" spans="2:6" ht="15" customHeight="1" x14ac:dyDescent="0.35">
      <c r="B152" s="27">
        <v>8</v>
      </c>
      <c r="C152" s="28" t="s">
        <v>378</v>
      </c>
      <c r="D152" s="28" t="s">
        <v>379</v>
      </c>
      <c r="E152" s="33">
        <v>6</v>
      </c>
      <c r="F152" s="33">
        <v>2</v>
      </c>
    </row>
    <row r="153" spans="2:6" ht="15" customHeight="1" x14ac:dyDescent="0.35">
      <c r="B153" s="27">
        <v>9</v>
      </c>
      <c r="C153" s="27" t="s">
        <v>380</v>
      </c>
      <c r="D153" s="27" t="s">
        <v>381</v>
      </c>
      <c r="E153" s="33">
        <v>6</v>
      </c>
      <c r="F153" s="33">
        <v>2</v>
      </c>
    </row>
    <row r="154" spans="2:6" ht="15" customHeight="1" x14ac:dyDescent="0.35">
      <c r="B154" s="27">
        <v>10</v>
      </c>
      <c r="C154" s="28" t="s">
        <v>382</v>
      </c>
      <c r="D154" s="28" t="s">
        <v>383</v>
      </c>
      <c r="E154" s="33">
        <v>6</v>
      </c>
      <c r="F154" s="33">
        <v>2</v>
      </c>
    </row>
    <row r="155" spans="2:6" ht="15" customHeight="1" x14ac:dyDescent="0.35">
      <c r="B155" s="27">
        <v>11</v>
      </c>
      <c r="C155" s="27" t="s">
        <v>384</v>
      </c>
      <c r="D155" s="27" t="s">
        <v>385</v>
      </c>
      <c r="E155" s="33">
        <v>6</v>
      </c>
      <c r="F155" s="33">
        <v>2</v>
      </c>
    </row>
    <row r="156" spans="2:6" ht="15" customHeight="1" x14ac:dyDescent="0.35">
      <c r="B156" s="27">
        <v>12</v>
      </c>
      <c r="C156" s="28" t="s">
        <v>386</v>
      </c>
      <c r="D156" s="28" t="s">
        <v>387</v>
      </c>
      <c r="E156" s="33">
        <v>6</v>
      </c>
      <c r="F156" s="33">
        <v>2</v>
      </c>
    </row>
    <row r="157" spans="2:6" ht="15" customHeight="1" x14ac:dyDescent="0.35">
      <c r="B157" s="27">
        <v>13</v>
      </c>
      <c r="C157" s="27" t="s">
        <v>388</v>
      </c>
      <c r="D157" s="27" t="s">
        <v>389</v>
      </c>
      <c r="E157" s="33">
        <v>6</v>
      </c>
      <c r="F157" s="33">
        <v>2</v>
      </c>
    </row>
    <row r="158" spans="2:6" ht="15" customHeight="1" x14ac:dyDescent="0.35">
      <c r="B158" s="27">
        <v>14</v>
      </c>
      <c r="C158" s="27" t="s">
        <v>390</v>
      </c>
      <c r="D158" s="27" t="s">
        <v>391</v>
      </c>
      <c r="E158" s="33">
        <v>6</v>
      </c>
      <c r="F158" s="33">
        <v>2</v>
      </c>
    </row>
    <row r="159" spans="2:6" ht="15" customHeight="1" x14ac:dyDescent="0.35">
      <c r="B159" s="27">
        <v>15</v>
      </c>
      <c r="C159" s="28" t="s">
        <v>392</v>
      </c>
      <c r="D159" s="28" t="s">
        <v>393</v>
      </c>
      <c r="E159" s="33">
        <v>6</v>
      </c>
      <c r="F159" s="33">
        <v>2</v>
      </c>
    </row>
    <row r="160" spans="2:6" ht="15" customHeight="1" x14ac:dyDescent="0.35">
      <c r="B160" s="27">
        <v>16</v>
      </c>
      <c r="C160" s="27" t="s">
        <v>394</v>
      </c>
      <c r="D160" s="27" t="s">
        <v>395</v>
      </c>
      <c r="E160" s="33">
        <v>6</v>
      </c>
      <c r="F160" s="33">
        <v>2</v>
      </c>
    </row>
    <row r="161" spans="2:6" ht="15" customHeight="1" x14ac:dyDescent="0.35">
      <c r="B161" s="27">
        <v>17</v>
      </c>
      <c r="C161" s="28" t="s">
        <v>396</v>
      </c>
      <c r="D161" s="28" t="s">
        <v>397</v>
      </c>
      <c r="E161" s="33">
        <v>6</v>
      </c>
      <c r="F161" s="33">
        <v>2</v>
      </c>
    </row>
    <row r="162" spans="2:6" ht="15" customHeight="1" x14ac:dyDescent="0.35">
      <c r="B162" s="27">
        <v>18</v>
      </c>
      <c r="C162" s="27" t="s">
        <v>398</v>
      </c>
      <c r="D162" s="27" t="s">
        <v>399</v>
      </c>
      <c r="E162" s="33">
        <v>6</v>
      </c>
      <c r="F162" s="33">
        <v>2</v>
      </c>
    </row>
    <row r="163" spans="2:6" ht="15" customHeight="1" x14ac:dyDescent="0.35">
      <c r="B163" s="27">
        <v>19</v>
      </c>
      <c r="C163" s="27" t="s">
        <v>400</v>
      </c>
      <c r="D163" s="27" t="s">
        <v>401</v>
      </c>
      <c r="E163" s="33">
        <v>6</v>
      </c>
      <c r="F163" s="33">
        <v>2</v>
      </c>
    </row>
    <row r="164" spans="2:6" ht="15" customHeight="1" x14ac:dyDescent="0.35">
      <c r="B164" s="27">
        <v>20</v>
      </c>
      <c r="C164" s="28" t="s">
        <v>402</v>
      </c>
      <c r="D164" s="28" t="s">
        <v>403</v>
      </c>
      <c r="E164" s="33">
        <v>6</v>
      </c>
      <c r="F164" s="33">
        <v>2</v>
      </c>
    </row>
    <row r="165" spans="2:6" ht="15" customHeight="1" x14ac:dyDescent="0.35">
      <c r="B165" s="27">
        <v>21</v>
      </c>
      <c r="C165" s="27" t="s">
        <v>404</v>
      </c>
      <c r="D165" s="27" t="s">
        <v>405</v>
      </c>
      <c r="E165" s="33">
        <v>6</v>
      </c>
      <c r="F165" s="33">
        <v>2</v>
      </c>
    </row>
    <row r="166" spans="2:6" ht="15" customHeight="1" x14ac:dyDescent="0.35">
      <c r="B166" s="27">
        <v>22</v>
      </c>
      <c r="C166" s="28" t="s">
        <v>406</v>
      </c>
      <c r="D166" s="28" t="s">
        <v>407</v>
      </c>
      <c r="E166" s="33">
        <v>6</v>
      </c>
      <c r="F166" s="33">
        <v>2</v>
      </c>
    </row>
    <row r="167" spans="2:6" ht="15" customHeight="1" x14ac:dyDescent="0.35">
      <c r="B167" s="27">
        <v>23</v>
      </c>
      <c r="C167" s="27" t="s">
        <v>408</v>
      </c>
      <c r="D167" s="27" t="s">
        <v>409</v>
      </c>
      <c r="E167" s="33">
        <v>6</v>
      </c>
      <c r="F167" s="33">
        <v>2</v>
      </c>
    </row>
    <row r="168" spans="2:6" ht="15" customHeight="1" x14ac:dyDescent="0.35">
      <c r="B168" s="27">
        <v>24</v>
      </c>
      <c r="C168" s="28" t="s">
        <v>410</v>
      </c>
      <c r="D168" s="28" t="s">
        <v>411</v>
      </c>
      <c r="E168" s="33">
        <v>6</v>
      </c>
      <c r="F168" s="33">
        <v>2</v>
      </c>
    </row>
    <row r="169" spans="2:6" ht="15" customHeight="1" x14ac:dyDescent="0.35">
      <c r="B169" s="27">
        <v>25</v>
      </c>
      <c r="C169" s="27" t="s">
        <v>412</v>
      </c>
      <c r="D169" s="27" t="s">
        <v>413</v>
      </c>
      <c r="E169" s="33">
        <v>6</v>
      </c>
      <c r="F169" s="33">
        <v>2</v>
      </c>
    </row>
    <row r="170" spans="2:6" ht="15" customHeight="1" x14ac:dyDescent="0.35">
      <c r="B170" s="27">
        <v>26</v>
      </c>
      <c r="C170" s="28" t="s">
        <v>414</v>
      </c>
      <c r="D170" s="28" t="s">
        <v>415</v>
      </c>
      <c r="E170" s="33">
        <v>6</v>
      </c>
      <c r="F170" s="33">
        <v>2</v>
      </c>
    </row>
    <row r="171" spans="2:6" ht="15" customHeight="1" x14ac:dyDescent="0.35">
      <c r="B171" s="27">
        <v>27</v>
      </c>
      <c r="C171" s="27" t="s">
        <v>416</v>
      </c>
      <c r="D171" s="27" t="s">
        <v>417</v>
      </c>
      <c r="E171" s="33">
        <v>6</v>
      </c>
      <c r="F171" s="33">
        <v>2</v>
      </c>
    </row>
    <row r="172" spans="2:6" ht="15" customHeight="1" x14ac:dyDescent="0.35">
      <c r="B172" s="27">
        <v>28</v>
      </c>
      <c r="C172" s="28" t="s">
        <v>418</v>
      </c>
      <c r="D172" s="28" t="s">
        <v>419</v>
      </c>
      <c r="E172" s="33">
        <v>6</v>
      </c>
      <c r="F172" s="33">
        <v>2</v>
      </c>
    </row>
    <row r="173" spans="2:6" ht="15" customHeight="1" x14ac:dyDescent="0.35">
      <c r="B173" s="27">
        <v>29</v>
      </c>
      <c r="C173" s="27" t="s">
        <v>420</v>
      </c>
      <c r="D173" s="27" t="s">
        <v>421</v>
      </c>
      <c r="E173" s="33">
        <v>6</v>
      </c>
      <c r="F173" s="33">
        <v>2</v>
      </c>
    </row>
    <row r="174" spans="2:6" ht="15" customHeight="1" x14ac:dyDescent="0.35">
      <c r="B174" s="27">
        <v>30</v>
      </c>
      <c r="C174" s="28" t="s">
        <v>422</v>
      </c>
      <c r="D174" s="28" t="s">
        <v>423</v>
      </c>
      <c r="E174" s="33">
        <v>6</v>
      </c>
      <c r="F174" s="33">
        <v>2</v>
      </c>
    </row>
    <row r="175" spans="2:6" ht="15" customHeight="1" x14ac:dyDescent="0.35">
      <c r="B175" s="27">
        <v>31</v>
      </c>
      <c r="C175" s="27" t="s">
        <v>424</v>
      </c>
      <c r="D175" s="27" t="s">
        <v>425</v>
      </c>
      <c r="E175" s="33">
        <v>6</v>
      </c>
      <c r="F175" s="33">
        <v>2</v>
      </c>
    </row>
    <row r="176" spans="2:6" ht="15" customHeight="1" x14ac:dyDescent="0.35">
      <c r="B176" s="27">
        <v>32</v>
      </c>
      <c r="C176" s="27" t="s">
        <v>426</v>
      </c>
      <c r="D176" s="27" t="s">
        <v>427</v>
      </c>
      <c r="E176" s="33">
        <v>6</v>
      </c>
      <c r="F176" s="33">
        <v>2</v>
      </c>
    </row>
    <row r="177" spans="2:6" ht="15" customHeight="1" x14ac:dyDescent="0.35">
      <c r="B177" s="27">
        <v>33</v>
      </c>
      <c r="C177" s="28" t="s">
        <v>428</v>
      </c>
      <c r="D177" s="28" t="s">
        <v>429</v>
      </c>
      <c r="E177" s="33">
        <v>6</v>
      </c>
      <c r="F177" s="33">
        <v>2</v>
      </c>
    </row>
    <row r="178" spans="2:6" ht="15" customHeight="1" x14ac:dyDescent="0.35">
      <c r="B178" s="27">
        <v>34</v>
      </c>
      <c r="C178" s="27" t="s">
        <v>430</v>
      </c>
      <c r="D178" s="27" t="s">
        <v>431</v>
      </c>
      <c r="E178" s="33">
        <v>6</v>
      </c>
      <c r="F178" s="33">
        <v>2</v>
      </c>
    </row>
    <row r="179" spans="2:6" ht="15" customHeight="1" x14ac:dyDescent="0.35">
      <c r="B179" s="27">
        <v>35</v>
      </c>
      <c r="C179" s="28" t="s">
        <v>432</v>
      </c>
      <c r="D179" s="28" t="s">
        <v>433</v>
      </c>
      <c r="E179" s="33">
        <v>6</v>
      </c>
      <c r="F179" s="33">
        <v>2</v>
      </c>
    </row>
    <row r="180" spans="2:6" ht="15" customHeight="1" x14ac:dyDescent="0.35">
      <c r="B180" s="27">
        <v>36</v>
      </c>
      <c r="C180" s="27" t="s">
        <v>434</v>
      </c>
      <c r="D180" s="27" t="s">
        <v>435</v>
      </c>
      <c r="E180" s="33">
        <v>6</v>
      </c>
      <c r="F180" s="33">
        <v>2</v>
      </c>
    </row>
    <row r="181" spans="2:6" ht="15" customHeight="1" x14ac:dyDescent="0.35">
      <c r="B181" s="27">
        <v>37</v>
      </c>
      <c r="C181" s="28" t="s">
        <v>436</v>
      </c>
      <c r="D181" s="28" t="s">
        <v>437</v>
      </c>
      <c r="E181" s="33">
        <v>6</v>
      </c>
      <c r="F181" s="33">
        <v>2</v>
      </c>
    </row>
    <row r="182" spans="2:6" ht="15" customHeight="1" x14ac:dyDescent="0.35">
      <c r="B182" s="27">
        <v>38</v>
      </c>
      <c r="C182" s="27" t="s">
        <v>438</v>
      </c>
      <c r="D182" s="27" t="s">
        <v>439</v>
      </c>
      <c r="E182" s="33">
        <v>6</v>
      </c>
      <c r="F182" s="33">
        <v>2</v>
      </c>
    </row>
    <row r="183" spans="2:6" ht="15" customHeight="1" x14ac:dyDescent="0.35">
      <c r="B183" s="27">
        <v>39</v>
      </c>
      <c r="C183" s="28" t="s">
        <v>440</v>
      </c>
      <c r="D183" s="28" t="s">
        <v>441</v>
      </c>
      <c r="E183" s="33">
        <v>6</v>
      </c>
      <c r="F183" s="33">
        <v>2</v>
      </c>
    </row>
    <row r="184" spans="2:6" ht="15" customHeight="1" x14ac:dyDescent="0.35">
      <c r="E184" s="8">
        <f>SUM(E145:E183)</f>
        <v>228</v>
      </c>
      <c r="F184" s="8">
        <f>SUM(F145:F183)</f>
        <v>78</v>
      </c>
    </row>
    <row r="185" spans="2:6" ht="17.149999999999999" customHeight="1" x14ac:dyDescent="0.35">
      <c r="D185" s="35" t="s">
        <v>1302</v>
      </c>
      <c r="E185" s="34">
        <f>SUM(E184+F184)</f>
        <v>306</v>
      </c>
      <c r="F185" s="29"/>
    </row>
    <row r="186" spans="2:6" ht="15" customHeight="1" x14ac:dyDescent="0.35"/>
    <row r="187" spans="2:6" ht="15" customHeight="1" x14ac:dyDescent="0.35">
      <c r="C187" s="22" t="s">
        <v>137</v>
      </c>
      <c r="D187" s="23" t="s">
        <v>138</v>
      </c>
    </row>
    <row r="188" spans="2:6" ht="15" customHeight="1" x14ac:dyDescent="0.35">
      <c r="C188" s="22" t="s">
        <v>139</v>
      </c>
      <c r="D188" s="23" t="s">
        <v>140</v>
      </c>
    </row>
    <row r="189" spans="2:6" ht="15" customHeight="1" x14ac:dyDescent="0.35">
      <c r="C189" s="22" t="s">
        <v>141</v>
      </c>
      <c r="D189" s="23" t="s">
        <v>142</v>
      </c>
      <c r="E189" s="53" t="s">
        <v>1296</v>
      </c>
      <c r="F189" s="53"/>
    </row>
    <row r="190" spans="2:6" ht="15" customHeight="1" x14ac:dyDescent="0.35">
      <c r="C190" s="22" t="s">
        <v>17</v>
      </c>
      <c r="D190" s="23" t="s">
        <v>143</v>
      </c>
      <c r="E190" s="53"/>
      <c r="F190" s="53"/>
    </row>
    <row r="191" spans="2:6" ht="15" customHeight="1" x14ac:dyDescent="0.35">
      <c r="C191" s="22" t="s">
        <v>1</v>
      </c>
      <c r="D191" s="30" t="s">
        <v>8</v>
      </c>
      <c r="E191" s="24"/>
      <c r="F191" s="24"/>
    </row>
    <row r="192" spans="2:6" ht="15" customHeight="1" x14ac:dyDescent="0.35">
      <c r="B192" s="25" t="s">
        <v>144</v>
      </c>
      <c r="C192" s="25" t="s">
        <v>145</v>
      </c>
      <c r="D192" s="25" t="s">
        <v>146</v>
      </c>
      <c r="E192" s="26" t="s">
        <v>1298</v>
      </c>
      <c r="F192" s="39">
        <v>2</v>
      </c>
    </row>
    <row r="193" spans="2:6" ht="15" customHeight="1" x14ac:dyDescent="0.35">
      <c r="B193" s="27">
        <v>1</v>
      </c>
      <c r="C193" s="27" t="s">
        <v>442</v>
      </c>
      <c r="D193" s="27" t="s">
        <v>443</v>
      </c>
      <c r="E193" s="33">
        <v>6</v>
      </c>
      <c r="F193" s="33">
        <v>2</v>
      </c>
    </row>
    <row r="194" spans="2:6" ht="15" customHeight="1" x14ac:dyDescent="0.35">
      <c r="B194" s="28">
        <v>2</v>
      </c>
      <c r="C194" s="28" t="s">
        <v>444</v>
      </c>
      <c r="D194" s="28" t="s">
        <v>445</v>
      </c>
      <c r="E194" s="33">
        <v>6</v>
      </c>
      <c r="F194" s="33">
        <v>2</v>
      </c>
    </row>
    <row r="195" spans="2:6" ht="15" customHeight="1" x14ac:dyDescent="0.35">
      <c r="B195" s="27">
        <v>3</v>
      </c>
      <c r="C195" s="27" t="s">
        <v>446</v>
      </c>
      <c r="D195" s="27" t="s">
        <v>447</v>
      </c>
      <c r="E195" s="33">
        <v>6</v>
      </c>
      <c r="F195" s="33">
        <v>2</v>
      </c>
    </row>
    <row r="196" spans="2:6" ht="15" customHeight="1" x14ac:dyDescent="0.35">
      <c r="B196" s="28">
        <v>4</v>
      </c>
      <c r="C196" s="28" t="s">
        <v>448</v>
      </c>
      <c r="D196" s="28" t="s">
        <v>449</v>
      </c>
      <c r="E196" s="33"/>
      <c r="F196" s="33">
        <v>2</v>
      </c>
    </row>
    <row r="197" spans="2:6" ht="15" customHeight="1" x14ac:dyDescent="0.35">
      <c r="B197" s="27">
        <v>5</v>
      </c>
      <c r="C197" s="27" t="s">
        <v>450</v>
      </c>
      <c r="D197" s="27" t="s">
        <v>451</v>
      </c>
      <c r="E197" s="33">
        <v>6</v>
      </c>
      <c r="F197" s="33">
        <v>2</v>
      </c>
    </row>
    <row r="198" spans="2:6" ht="15" customHeight="1" x14ac:dyDescent="0.35">
      <c r="B198" s="28">
        <v>6</v>
      </c>
      <c r="C198" s="28" t="s">
        <v>452</v>
      </c>
      <c r="D198" s="28" t="s">
        <v>453</v>
      </c>
      <c r="E198" s="33">
        <v>6</v>
      </c>
      <c r="F198" s="33">
        <v>2</v>
      </c>
    </row>
    <row r="199" spans="2:6" ht="15" customHeight="1" x14ac:dyDescent="0.35">
      <c r="B199" s="27">
        <v>7</v>
      </c>
      <c r="C199" s="27" t="s">
        <v>454</v>
      </c>
      <c r="D199" s="27" t="s">
        <v>455</v>
      </c>
      <c r="E199" s="33">
        <v>6</v>
      </c>
      <c r="F199" s="33">
        <v>2</v>
      </c>
    </row>
    <row r="200" spans="2:6" ht="15" customHeight="1" x14ac:dyDescent="0.35">
      <c r="B200" s="28">
        <v>8</v>
      </c>
      <c r="C200" s="28" t="s">
        <v>456</v>
      </c>
      <c r="D200" s="28" t="s">
        <v>457</v>
      </c>
      <c r="E200" s="33">
        <v>6</v>
      </c>
      <c r="F200" s="33">
        <v>2</v>
      </c>
    </row>
    <row r="201" spans="2:6" ht="15" customHeight="1" x14ac:dyDescent="0.35">
      <c r="B201" s="27">
        <v>9</v>
      </c>
      <c r="C201" s="27" t="s">
        <v>458</v>
      </c>
      <c r="D201" s="27" t="s">
        <v>459</v>
      </c>
      <c r="E201" s="33">
        <v>6</v>
      </c>
      <c r="F201" s="33">
        <v>2</v>
      </c>
    </row>
    <row r="202" spans="2:6" ht="15" customHeight="1" x14ac:dyDescent="0.35">
      <c r="B202" s="28">
        <v>10</v>
      </c>
      <c r="C202" s="28" t="s">
        <v>460</v>
      </c>
      <c r="D202" s="28" t="s">
        <v>461</v>
      </c>
      <c r="E202" s="33">
        <v>6</v>
      </c>
      <c r="F202" s="33">
        <v>2</v>
      </c>
    </row>
    <row r="203" spans="2:6" ht="15" customHeight="1" x14ac:dyDescent="0.35">
      <c r="B203" s="27">
        <v>11</v>
      </c>
      <c r="C203" s="27" t="s">
        <v>462</v>
      </c>
      <c r="D203" s="27" t="s">
        <v>463</v>
      </c>
      <c r="E203" s="33">
        <v>6</v>
      </c>
      <c r="F203" s="33">
        <v>2</v>
      </c>
    </row>
    <row r="204" spans="2:6" ht="15" customHeight="1" x14ac:dyDescent="0.35">
      <c r="B204" s="28">
        <v>12</v>
      </c>
      <c r="C204" s="28" t="s">
        <v>464</v>
      </c>
      <c r="D204" s="28" t="s">
        <v>465</v>
      </c>
      <c r="E204" s="33">
        <v>6</v>
      </c>
      <c r="F204" s="33">
        <v>2</v>
      </c>
    </row>
    <row r="205" spans="2:6" ht="15" customHeight="1" x14ac:dyDescent="0.35">
      <c r="B205" s="27">
        <v>13</v>
      </c>
      <c r="C205" s="27" t="s">
        <v>466</v>
      </c>
      <c r="D205" s="27" t="s">
        <v>467</v>
      </c>
      <c r="E205" s="33">
        <v>6</v>
      </c>
      <c r="F205" s="33">
        <v>2</v>
      </c>
    </row>
    <row r="206" spans="2:6" ht="15" customHeight="1" x14ac:dyDescent="0.35">
      <c r="B206" s="28">
        <v>14</v>
      </c>
      <c r="C206" s="28" t="s">
        <v>468</v>
      </c>
      <c r="D206" s="28" t="s">
        <v>469</v>
      </c>
      <c r="E206" s="33">
        <v>6</v>
      </c>
      <c r="F206" s="33">
        <v>2</v>
      </c>
    </row>
    <row r="207" spans="2:6" ht="15" customHeight="1" x14ac:dyDescent="0.35">
      <c r="B207" s="27">
        <v>15</v>
      </c>
      <c r="C207" s="27" t="s">
        <v>470</v>
      </c>
      <c r="D207" s="27" t="s">
        <v>471</v>
      </c>
      <c r="E207" s="33">
        <v>6</v>
      </c>
      <c r="F207" s="33">
        <v>2</v>
      </c>
    </row>
    <row r="208" spans="2:6" ht="15" customHeight="1" x14ac:dyDescent="0.35">
      <c r="B208" s="28">
        <v>16</v>
      </c>
      <c r="C208" s="28" t="s">
        <v>472</v>
      </c>
      <c r="D208" s="28" t="s">
        <v>473</v>
      </c>
      <c r="E208" s="33">
        <v>6</v>
      </c>
      <c r="F208" s="40">
        <v>1</v>
      </c>
    </row>
    <row r="209" spans="2:6" ht="15" customHeight="1" x14ac:dyDescent="0.35">
      <c r="B209" s="27">
        <v>17</v>
      </c>
      <c r="C209" s="27" t="s">
        <v>474</v>
      </c>
      <c r="D209" s="27" t="s">
        <v>475</v>
      </c>
      <c r="E209" s="33">
        <v>6</v>
      </c>
      <c r="F209" s="33">
        <v>2</v>
      </c>
    </row>
    <row r="210" spans="2:6" ht="15" customHeight="1" x14ac:dyDescent="0.35">
      <c r="B210" s="28">
        <v>18</v>
      </c>
      <c r="C210" s="28" t="s">
        <v>476</v>
      </c>
      <c r="D210" s="28" t="s">
        <v>477</v>
      </c>
      <c r="E210" s="33">
        <v>6</v>
      </c>
      <c r="F210" s="33">
        <v>2</v>
      </c>
    </row>
    <row r="211" spans="2:6" ht="15" customHeight="1" x14ac:dyDescent="0.35">
      <c r="B211" s="27">
        <v>19</v>
      </c>
      <c r="C211" s="27" t="s">
        <v>478</v>
      </c>
      <c r="D211" s="27" t="s">
        <v>479</v>
      </c>
      <c r="E211" s="33">
        <v>6</v>
      </c>
      <c r="F211" s="33">
        <v>2</v>
      </c>
    </row>
    <row r="212" spans="2:6" ht="15" customHeight="1" x14ac:dyDescent="0.35">
      <c r="B212" s="28">
        <v>20</v>
      </c>
      <c r="C212" s="28" t="s">
        <v>480</v>
      </c>
      <c r="D212" s="28" t="s">
        <v>481</v>
      </c>
      <c r="E212" s="33">
        <v>6</v>
      </c>
      <c r="F212" s="33">
        <v>2</v>
      </c>
    </row>
    <row r="213" spans="2:6" ht="15" customHeight="1" x14ac:dyDescent="0.35">
      <c r="B213" s="27">
        <v>21</v>
      </c>
      <c r="C213" s="27" t="s">
        <v>482</v>
      </c>
      <c r="D213" s="27" t="s">
        <v>483</v>
      </c>
      <c r="E213" s="33">
        <v>6</v>
      </c>
      <c r="F213" s="33">
        <v>2</v>
      </c>
    </row>
    <row r="214" spans="2:6" ht="15" customHeight="1" x14ac:dyDescent="0.35">
      <c r="B214" s="28">
        <v>22</v>
      </c>
      <c r="C214" s="28" t="s">
        <v>484</v>
      </c>
      <c r="D214" s="28" t="s">
        <v>485</v>
      </c>
      <c r="E214" s="33">
        <v>6</v>
      </c>
      <c r="F214" s="33">
        <v>2</v>
      </c>
    </row>
    <row r="215" spans="2:6" ht="15" customHeight="1" x14ac:dyDescent="0.35">
      <c r="B215" s="27">
        <v>23</v>
      </c>
      <c r="C215" s="27" t="s">
        <v>486</v>
      </c>
      <c r="D215" s="27" t="s">
        <v>487</v>
      </c>
      <c r="E215" s="33">
        <v>6</v>
      </c>
      <c r="F215" s="33">
        <v>2</v>
      </c>
    </row>
    <row r="216" spans="2:6" ht="15" customHeight="1" x14ac:dyDescent="0.35">
      <c r="B216" s="28">
        <v>24</v>
      </c>
      <c r="C216" s="28" t="s">
        <v>488</v>
      </c>
      <c r="D216" s="28" t="s">
        <v>489</v>
      </c>
      <c r="E216" s="33">
        <v>6</v>
      </c>
      <c r="F216" s="33">
        <v>2</v>
      </c>
    </row>
    <row r="217" spans="2:6" ht="15" customHeight="1" x14ac:dyDescent="0.35">
      <c r="B217" s="27">
        <v>25</v>
      </c>
      <c r="C217" s="27" t="s">
        <v>490</v>
      </c>
      <c r="D217" s="27" t="s">
        <v>491</v>
      </c>
      <c r="E217" s="33">
        <v>6</v>
      </c>
      <c r="F217" s="33">
        <v>2</v>
      </c>
    </row>
    <row r="218" spans="2:6" ht="15" customHeight="1" x14ac:dyDescent="0.35">
      <c r="B218" s="28">
        <v>26</v>
      </c>
      <c r="C218" s="28" t="s">
        <v>492</v>
      </c>
      <c r="D218" s="28" t="s">
        <v>493</v>
      </c>
      <c r="E218" s="33">
        <v>6</v>
      </c>
      <c r="F218" s="33">
        <v>2</v>
      </c>
    </row>
    <row r="219" spans="2:6" ht="15" customHeight="1" x14ac:dyDescent="0.35">
      <c r="B219" s="27">
        <v>27</v>
      </c>
      <c r="C219" s="27" t="s">
        <v>494</v>
      </c>
      <c r="D219" s="27" t="s">
        <v>495</v>
      </c>
      <c r="E219" s="33">
        <v>6</v>
      </c>
      <c r="F219" s="33">
        <v>2</v>
      </c>
    </row>
    <row r="220" spans="2:6" ht="15" customHeight="1" x14ac:dyDescent="0.35">
      <c r="B220" s="28">
        <v>28</v>
      </c>
      <c r="C220" s="28" t="s">
        <v>496</v>
      </c>
      <c r="D220" s="28" t="s">
        <v>497</v>
      </c>
      <c r="E220" s="33">
        <v>6</v>
      </c>
      <c r="F220" s="33">
        <v>2</v>
      </c>
    </row>
    <row r="221" spans="2:6" ht="15" customHeight="1" x14ac:dyDescent="0.35">
      <c r="B221" s="27">
        <v>29</v>
      </c>
      <c r="C221" s="27" t="s">
        <v>498</v>
      </c>
      <c r="D221" s="27" t="s">
        <v>499</v>
      </c>
      <c r="E221" s="33">
        <v>6</v>
      </c>
      <c r="F221" s="33">
        <v>2</v>
      </c>
    </row>
    <row r="222" spans="2:6" ht="15" customHeight="1" x14ac:dyDescent="0.35">
      <c r="B222" s="28">
        <v>30</v>
      </c>
      <c r="C222" s="28" t="s">
        <v>500</v>
      </c>
      <c r="D222" s="28" t="s">
        <v>501</v>
      </c>
      <c r="E222" s="33">
        <v>6</v>
      </c>
      <c r="F222" s="33">
        <v>2</v>
      </c>
    </row>
    <row r="223" spans="2:6" ht="15" customHeight="1" x14ac:dyDescent="0.35">
      <c r="B223" s="27">
        <v>31</v>
      </c>
      <c r="C223" s="27" t="s">
        <v>502</v>
      </c>
      <c r="D223" s="27" t="s">
        <v>503</v>
      </c>
      <c r="E223" s="33">
        <v>6</v>
      </c>
      <c r="F223" s="33">
        <v>2</v>
      </c>
    </row>
    <row r="224" spans="2:6" ht="15" customHeight="1" x14ac:dyDescent="0.35">
      <c r="B224" s="28">
        <v>32</v>
      </c>
      <c r="C224" s="28" t="s">
        <v>504</v>
      </c>
      <c r="D224" s="28" t="s">
        <v>505</v>
      </c>
      <c r="E224" s="33">
        <v>6</v>
      </c>
      <c r="F224" s="33">
        <v>2</v>
      </c>
    </row>
    <row r="225" spans="2:6" ht="15" customHeight="1" x14ac:dyDescent="0.35">
      <c r="B225" s="27">
        <v>33</v>
      </c>
      <c r="C225" s="27" t="s">
        <v>506</v>
      </c>
      <c r="D225" s="27" t="s">
        <v>507</v>
      </c>
      <c r="E225" s="33">
        <v>6</v>
      </c>
      <c r="F225" s="33">
        <v>2</v>
      </c>
    </row>
    <row r="226" spans="2:6" ht="15" customHeight="1" x14ac:dyDescent="0.35">
      <c r="B226" s="28">
        <v>34</v>
      </c>
      <c r="C226" s="28" t="s">
        <v>508</v>
      </c>
      <c r="D226" s="28" t="s">
        <v>509</v>
      </c>
      <c r="E226" s="33">
        <v>6</v>
      </c>
      <c r="F226" s="33">
        <v>2</v>
      </c>
    </row>
    <row r="227" spans="2:6" ht="15" customHeight="1" x14ac:dyDescent="0.35">
      <c r="B227" s="27">
        <v>35</v>
      </c>
      <c r="C227" s="27" t="s">
        <v>510</v>
      </c>
      <c r="D227" s="27" t="s">
        <v>511</v>
      </c>
      <c r="E227" s="33">
        <v>6</v>
      </c>
      <c r="F227" s="33">
        <v>2</v>
      </c>
    </row>
    <row r="228" spans="2:6" ht="15" customHeight="1" x14ac:dyDescent="0.35">
      <c r="B228" s="28">
        <v>36</v>
      </c>
      <c r="C228" s="28" t="s">
        <v>512</v>
      </c>
      <c r="D228" s="28" t="s">
        <v>513</v>
      </c>
      <c r="E228" s="33">
        <v>6</v>
      </c>
      <c r="F228" s="33">
        <v>2</v>
      </c>
    </row>
    <row r="229" spans="2:6" ht="15" customHeight="1" x14ac:dyDescent="0.35">
      <c r="B229" s="27">
        <v>37</v>
      </c>
      <c r="C229" s="27" t="s">
        <v>514</v>
      </c>
      <c r="D229" s="27" t="s">
        <v>515</v>
      </c>
      <c r="E229" s="33">
        <v>6</v>
      </c>
      <c r="F229" s="33">
        <v>2</v>
      </c>
    </row>
    <row r="230" spans="2:6" ht="15" customHeight="1" x14ac:dyDescent="0.35">
      <c r="B230" s="28">
        <v>38</v>
      </c>
      <c r="C230" s="28" t="s">
        <v>516</v>
      </c>
      <c r="D230" s="28" t="s">
        <v>517</v>
      </c>
      <c r="E230" s="33">
        <v>6</v>
      </c>
      <c r="F230" s="33">
        <v>2</v>
      </c>
    </row>
    <row r="231" spans="2:6" ht="15" customHeight="1" x14ac:dyDescent="0.35">
      <c r="B231" s="27">
        <v>39</v>
      </c>
      <c r="C231" s="27" t="s">
        <v>518</v>
      </c>
      <c r="D231" s="27" t="s">
        <v>519</v>
      </c>
      <c r="E231" s="33">
        <v>6</v>
      </c>
      <c r="F231" s="33">
        <v>2</v>
      </c>
    </row>
    <row r="232" spans="2:6" ht="15" customHeight="1" x14ac:dyDescent="0.35">
      <c r="B232" s="28">
        <v>40</v>
      </c>
      <c r="C232" s="28" t="s">
        <v>520</v>
      </c>
      <c r="D232" s="28" t="s">
        <v>521</v>
      </c>
      <c r="E232" s="33">
        <v>6</v>
      </c>
      <c r="F232" s="33">
        <v>2</v>
      </c>
    </row>
    <row r="233" spans="2:6" ht="15" customHeight="1" x14ac:dyDescent="0.35">
      <c r="D233" s="21"/>
      <c r="E233" s="8">
        <f>SUM(E193:E232)</f>
        <v>234</v>
      </c>
      <c r="F233" s="8">
        <f>SUM(F193:F232)</f>
        <v>79</v>
      </c>
    </row>
    <row r="234" spans="2:6" ht="17.149999999999999" customHeight="1" x14ac:dyDescent="0.35">
      <c r="D234" s="35" t="s">
        <v>1302</v>
      </c>
      <c r="E234" s="34">
        <f>SUM(E233+F233)</f>
        <v>313</v>
      </c>
      <c r="F234" s="29"/>
    </row>
    <row r="235" spans="2:6" ht="15" customHeight="1" x14ac:dyDescent="0.35">
      <c r="D235" s="21"/>
    </row>
    <row r="236" spans="2:6" ht="15" customHeight="1" x14ac:dyDescent="0.35">
      <c r="C236" s="22" t="s">
        <v>137</v>
      </c>
      <c r="D236" s="23" t="s">
        <v>138</v>
      </c>
    </row>
    <row r="237" spans="2:6" ht="15" customHeight="1" x14ac:dyDescent="0.35">
      <c r="C237" s="22" t="s">
        <v>139</v>
      </c>
      <c r="D237" s="23" t="s">
        <v>140</v>
      </c>
      <c r="E237" s="53" t="s">
        <v>1296</v>
      </c>
      <c r="F237" s="53"/>
    </row>
    <row r="238" spans="2:6" ht="15" customHeight="1" x14ac:dyDescent="0.35">
      <c r="C238" s="22" t="s">
        <v>141</v>
      </c>
      <c r="D238" s="23" t="s">
        <v>142</v>
      </c>
      <c r="E238" s="53"/>
      <c r="F238" s="53"/>
    </row>
    <row r="239" spans="2:6" ht="15" customHeight="1" x14ac:dyDescent="0.35">
      <c r="C239" s="22" t="s">
        <v>17</v>
      </c>
      <c r="D239" s="23" t="s">
        <v>143</v>
      </c>
      <c r="E239" s="23"/>
      <c r="F239" s="23"/>
    </row>
    <row r="240" spans="2:6" ht="15" customHeight="1" x14ac:dyDescent="0.35">
      <c r="C240" s="22" t="s">
        <v>1</v>
      </c>
      <c r="D240" s="30" t="s">
        <v>9</v>
      </c>
      <c r="E240" s="24"/>
      <c r="F240" s="24"/>
    </row>
    <row r="241" spans="2:6" ht="15" customHeight="1" x14ac:dyDescent="0.35">
      <c r="B241" s="25" t="s">
        <v>144</v>
      </c>
      <c r="C241" s="25" t="s">
        <v>145</v>
      </c>
      <c r="D241" s="25" t="s">
        <v>146</v>
      </c>
      <c r="E241" s="26" t="s">
        <v>1298</v>
      </c>
      <c r="F241" s="39">
        <v>2</v>
      </c>
    </row>
    <row r="242" spans="2:6" ht="15" customHeight="1" x14ac:dyDescent="0.35">
      <c r="B242" s="27">
        <v>1</v>
      </c>
      <c r="C242" s="28" t="s">
        <v>522</v>
      </c>
      <c r="D242" s="28" t="s">
        <v>523</v>
      </c>
      <c r="E242" s="36"/>
      <c r="F242" s="36">
        <v>2</v>
      </c>
    </row>
    <row r="243" spans="2:6" ht="15" customHeight="1" x14ac:dyDescent="0.35">
      <c r="B243" s="27">
        <v>2</v>
      </c>
      <c r="C243" s="27" t="s">
        <v>524</v>
      </c>
      <c r="D243" s="27" t="s">
        <v>525</v>
      </c>
      <c r="E243" s="36">
        <v>6</v>
      </c>
      <c r="F243" s="36">
        <v>2</v>
      </c>
    </row>
    <row r="244" spans="2:6" ht="15" customHeight="1" x14ac:dyDescent="0.35">
      <c r="B244" s="27">
        <v>3</v>
      </c>
      <c r="C244" s="28" t="s">
        <v>526</v>
      </c>
      <c r="D244" s="28" t="s">
        <v>527</v>
      </c>
      <c r="E244" s="36">
        <v>6</v>
      </c>
      <c r="F244" s="36">
        <v>2</v>
      </c>
    </row>
    <row r="245" spans="2:6" ht="15" customHeight="1" x14ac:dyDescent="0.35">
      <c r="B245" s="27">
        <v>4</v>
      </c>
      <c r="C245" s="27" t="s">
        <v>528</v>
      </c>
      <c r="D245" s="27" t="s">
        <v>529</v>
      </c>
      <c r="E245" s="36">
        <v>6</v>
      </c>
      <c r="F245" s="36">
        <v>2</v>
      </c>
    </row>
    <row r="246" spans="2:6" ht="15" customHeight="1" x14ac:dyDescent="0.35">
      <c r="B246" s="27">
        <v>5</v>
      </c>
      <c r="C246" s="28" t="s">
        <v>530</v>
      </c>
      <c r="D246" s="28" t="s">
        <v>531</v>
      </c>
      <c r="E246" s="36">
        <v>6</v>
      </c>
      <c r="F246" s="36">
        <v>2</v>
      </c>
    </row>
    <row r="247" spans="2:6" ht="15" customHeight="1" x14ac:dyDescent="0.35">
      <c r="B247" s="27">
        <v>6</v>
      </c>
      <c r="C247" s="27" t="s">
        <v>532</v>
      </c>
      <c r="D247" s="27" t="s">
        <v>533</v>
      </c>
      <c r="E247" s="36">
        <v>6</v>
      </c>
      <c r="F247" s="36">
        <v>2</v>
      </c>
    </row>
    <row r="248" spans="2:6" ht="15" customHeight="1" x14ac:dyDescent="0.35">
      <c r="B248" s="27">
        <v>7</v>
      </c>
      <c r="C248" s="28" t="s">
        <v>534</v>
      </c>
      <c r="D248" s="28" t="s">
        <v>535</v>
      </c>
      <c r="E248" s="36">
        <v>6</v>
      </c>
      <c r="F248" s="36">
        <v>2</v>
      </c>
    </row>
    <row r="249" spans="2:6" ht="15" customHeight="1" x14ac:dyDescent="0.35">
      <c r="B249" s="27">
        <v>8</v>
      </c>
      <c r="C249" s="27" t="s">
        <v>536</v>
      </c>
      <c r="D249" s="27" t="s">
        <v>537</v>
      </c>
      <c r="E249" s="36">
        <v>6</v>
      </c>
      <c r="F249" s="36">
        <v>2</v>
      </c>
    </row>
    <row r="250" spans="2:6" ht="15" customHeight="1" x14ac:dyDescent="0.35">
      <c r="B250" s="27">
        <v>9</v>
      </c>
      <c r="C250" s="27" t="s">
        <v>538</v>
      </c>
      <c r="D250" s="27" t="s">
        <v>539</v>
      </c>
      <c r="E250" s="36">
        <v>6</v>
      </c>
      <c r="F250" s="36">
        <v>2</v>
      </c>
    </row>
    <row r="251" spans="2:6" ht="15" customHeight="1" x14ac:dyDescent="0.35">
      <c r="B251" s="27">
        <v>10</v>
      </c>
      <c r="C251" s="28" t="s">
        <v>540</v>
      </c>
      <c r="D251" s="28" t="s">
        <v>541</v>
      </c>
      <c r="E251" s="36">
        <v>6</v>
      </c>
      <c r="F251" s="36">
        <v>2</v>
      </c>
    </row>
    <row r="252" spans="2:6" ht="15" customHeight="1" x14ac:dyDescent="0.35">
      <c r="B252" s="27">
        <v>11</v>
      </c>
      <c r="C252" s="27" t="s">
        <v>542</v>
      </c>
      <c r="D252" s="27" t="s">
        <v>543</v>
      </c>
      <c r="E252" s="36">
        <v>6</v>
      </c>
      <c r="F252" s="36">
        <v>2</v>
      </c>
    </row>
    <row r="253" spans="2:6" ht="15" customHeight="1" x14ac:dyDescent="0.35">
      <c r="B253" s="27">
        <v>12</v>
      </c>
      <c r="C253" s="28" t="s">
        <v>544</v>
      </c>
      <c r="D253" s="28" t="s">
        <v>545</v>
      </c>
      <c r="E253" s="36">
        <v>6</v>
      </c>
      <c r="F253" s="36">
        <v>2</v>
      </c>
    </row>
    <row r="254" spans="2:6" ht="15" customHeight="1" x14ac:dyDescent="0.35">
      <c r="B254" s="27">
        <v>13</v>
      </c>
      <c r="C254" s="28" t="s">
        <v>546</v>
      </c>
      <c r="D254" s="28" t="s">
        <v>547</v>
      </c>
      <c r="E254" s="36">
        <v>6</v>
      </c>
      <c r="F254" s="36">
        <v>2</v>
      </c>
    </row>
    <row r="255" spans="2:6" ht="15" customHeight="1" x14ac:dyDescent="0.35">
      <c r="B255" s="27">
        <v>14</v>
      </c>
      <c r="C255" s="27" t="s">
        <v>548</v>
      </c>
      <c r="D255" s="27" t="s">
        <v>549</v>
      </c>
      <c r="E255" s="36"/>
      <c r="F255" s="36">
        <v>2</v>
      </c>
    </row>
    <row r="256" spans="2:6" ht="15" customHeight="1" x14ac:dyDescent="0.35">
      <c r="B256" s="27">
        <v>15</v>
      </c>
      <c r="C256" s="28" t="s">
        <v>550</v>
      </c>
      <c r="D256" s="28" t="s">
        <v>551</v>
      </c>
      <c r="E256" s="36">
        <v>6</v>
      </c>
      <c r="F256" s="36">
        <v>2</v>
      </c>
    </row>
    <row r="257" spans="2:6" ht="15" customHeight="1" x14ac:dyDescent="0.35">
      <c r="B257" s="27">
        <v>16</v>
      </c>
      <c r="C257" s="27" t="s">
        <v>552</v>
      </c>
      <c r="D257" s="27" t="s">
        <v>553</v>
      </c>
      <c r="E257" s="36">
        <v>6</v>
      </c>
      <c r="F257" s="36">
        <v>2</v>
      </c>
    </row>
    <row r="258" spans="2:6" ht="15" customHeight="1" x14ac:dyDescent="0.35">
      <c r="B258" s="27">
        <v>17</v>
      </c>
      <c r="C258" s="28" t="s">
        <v>554</v>
      </c>
      <c r="D258" s="28" t="s">
        <v>555</v>
      </c>
      <c r="E258" s="36">
        <v>6</v>
      </c>
      <c r="F258" s="36">
        <v>2</v>
      </c>
    </row>
    <row r="259" spans="2:6" ht="15" customHeight="1" x14ac:dyDescent="0.35">
      <c r="B259" s="27">
        <v>18</v>
      </c>
      <c r="C259" s="27" t="s">
        <v>556</v>
      </c>
      <c r="D259" s="27" t="s">
        <v>557</v>
      </c>
      <c r="E259" s="36">
        <v>6</v>
      </c>
      <c r="F259" s="36">
        <v>2</v>
      </c>
    </row>
    <row r="260" spans="2:6" ht="15" customHeight="1" x14ac:dyDescent="0.35">
      <c r="B260" s="27">
        <v>19</v>
      </c>
      <c r="C260" s="28" t="s">
        <v>558</v>
      </c>
      <c r="D260" s="28" t="s">
        <v>559</v>
      </c>
      <c r="E260" s="36">
        <v>6</v>
      </c>
      <c r="F260" s="36">
        <v>2</v>
      </c>
    </row>
    <row r="261" spans="2:6" ht="15" customHeight="1" x14ac:dyDescent="0.35">
      <c r="B261" s="27">
        <v>20</v>
      </c>
      <c r="C261" s="27" t="s">
        <v>560</v>
      </c>
      <c r="D261" s="27" t="s">
        <v>561</v>
      </c>
      <c r="E261" s="36">
        <v>6</v>
      </c>
      <c r="F261" s="36">
        <v>2</v>
      </c>
    </row>
    <row r="262" spans="2:6" ht="15" customHeight="1" x14ac:dyDescent="0.35">
      <c r="B262" s="27">
        <v>21</v>
      </c>
      <c r="C262" s="28" t="s">
        <v>562</v>
      </c>
      <c r="D262" s="28" t="s">
        <v>563</v>
      </c>
      <c r="E262" s="36">
        <v>6</v>
      </c>
      <c r="F262" s="36">
        <v>2</v>
      </c>
    </row>
    <row r="263" spans="2:6" ht="15" customHeight="1" x14ac:dyDescent="0.35">
      <c r="B263" s="27">
        <v>22</v>
      </c>
      <c r="C263" s="27" t="s">
        <v>564</v>
      </c>
      <c r="D263" s="27" t="s">
        <v>565</v>
      </c>
      <c r="E263" s="36">
        <v>6</v>
      </c>
      <c r="F263" s="36">
        <v>2</v>
      </c>
    </row>
    <row r="264" spans="2:6" ht="15" customHeight="1" x14ac:dyDescent="0.35">
      <c r="B264" s="27">
        <v>23</v>
      </c>
      <c r="C264" s="28" t="s">
        <v>566</v>
      </c>
      <c r="D264" s="28" t="s">
        <v>567</v>
      </c>
      <c r="E264" s="36">
        <v>6</v>
      </c>
      <c r="F264" s="36">
        <v>2</v>
      </c>
    </row>
    <row r="265" spans="2:6" ht="15" customHeight="1" x14ac:dyDescent="0.35">
      <c r="B265" s="27">
        <v>24</v>
      </c>
      <c r="C265" s="27" t="s">
        <v>568</v>
      </c>
      <c r="D265" s="27" t="s">
        <v>569</v>
      </c>
      <c r="E265" s="36">
        <v>6</v>
      </c>
      <c r="F265" s="36">
        <v>2</v>
      </c>
    </row>
    <row r="266" spans="2:6" ht="15" customHeight="1" x14ac:dyDescent="0.35">
      <c r="B266" s="27">
        <v>25</v>
      </c>
      <c r="C266" s="28" t="s">
        <v>570</v>
      </c>
      <c r="D266" s="28" t="s">
        <v>571</v>
      </c>
      <c r="E266" s="36">
        <v>6</v>
      </c>
      <c r="F266" s="36">
        <v>2</v>
      </c>
    </row>
    <row r="267" spans="2:6" ht="15" customHeight="1" x14ac:dyDescent="0.35">
      <c r="B267" s="27">
        <v>26</v>
      </c>
      <c r="C267" s="27" t="s">
        <v>572</v>
      </c>
      <c r="D267" s="27" t="s">
        <v>573</v>
      </c>
      <c r="E267" s="36">
        <v>6</v>
      </c>
      <c r="F267" s="36">
        <v>2</v>
      </c>
    </row>
    <row r="268" spans="2:6" ht="15" customHeight="1" x14ac:dyDescent="0.35">
      <c r="B268" s="27">
        <v>27</v>
      </c>
      <c r="C268" s="28" t="s">
        <v>574</v>
      </c>
      <c r="D268" s="28" t="s">
        <v>575</v>
      </c>
      <c r="E268" s="36">
        <v>6</v>
      </c>
      <c r="F268" s="36">
        <v>2</v>
      </c>
    </row>
    <row r="269" spans="2:6" ht="15" customHeight="1" x14ac:dyDescent="0.35">
      <c r="B269" s="27">
        <v>28</v>
      </c>
      <c r="C269" s="27" t="s">
        <v>576</v>
      </c>
      <c r="D269" s="27" t="s">
        <v>577</v>
      </c>
      <c r="E269" s="36">
        <v>6</v>
      </c>
      <c r="F269" s="36">
        <v>2</v>
      </c>
    </row>
    <row r="270" spans="2:6" ht="15" customHeight="1" x14ac:dyDescent="0.35">
      <c r="B270" s="27">
        <v>29</v>
      </c>
      <c r="C270" s="28" t="s">
        <v>578</v>
      </c>
      <c r="D270" s="28" t="s">
        <v>579</v>
      </c>
      <c r="E270" s="36">
        <v>6</v>
      </c>
      <c r="F270" s="36">
        <v>2</v>
      </c>
    </row>
    <row r="271" spans="2:6" ht="15" customHeight="1" x14ac:dyDescent="0.35">
      <c r="B271" s="27">
        <v>30</v>
      </c>
      <c r="C271" s="27" t="s">
        <v>580</v>
      </c>
      <c r="D271" s="27" t="s">
        <v>581</v>
      </c>
      <c r="E271" s="36">
        <v>6</v>
      </c>
      <c r="F271" s="36">
        <v>2</v>
      </c>
    </row>
    <row r="272" spans="2:6" ht="15" customHeight="1" x14ac:dyDescent="0.35">
      <c r="B272" s="27">
        <v>31</v>
      </c>
      <c r="C272" s="28" t="s">
        <v>582</v>
      </c>
      <c r="D272" s="28" t="s">
        <v>583</v>
      </c>
      <c r="E272" s="36">
        <v>6</v>
      </c>
      <c r="F272" s="36">
        <v>2</v>
      </c>
    </row>
    <row r="273" spans="2:6" ht="15" customHeight="1" x14ac:dyDescent="0.35">
      <c r="B273" s="27">
        <v>32</v>
      </c>
      <c r="C273" s="27" t="s">
        <v>584</v>
      </c>
      <c r="D273" s="27" t="s">
        <v>585</v>
      </c>
      <c r="E273" s="36">
        <v>6</v>
      </c>
      <c r="F273" s="36">
        <v>2</v>
      </c>
    </row>
    <row r="274" spans="2:6" ht="15" customHeight="1" x14ac:dyDescent="0.35">
      <c r="B274" s="27">
        <v>33</v>
      </c>
      <c r="C274" s="28" t="s">
        <v>586</v>
      </c>
      <c r="D274" s="28" t="s">
        <v>587</v>
      </c>
      <c r="E274" s="36">
        <v>6</v>
      </c>
      <c r="F274" s="36">
        <v>2</v>
      </c>
    </row>
    <row r="275" spans="2:6" ht="15" customHeight="1" x14ac:dyDescent="0.35">
      <c r="B275" s="27">
        <v>34</v>
      </c>
      <c r="C275" s="27" t="s">
        <v>588</v>
      </c>
      <c r="D275" s="27" t="s">
        <v>589</v>
      </c>
      <c r="E275" s="36">
        <v>6</v>
      </c>
      <c r="F275" s="36">
        <v>2</v>
      </c>
    </row>
    <row r="276" spans="2:6" ht="15" customHeight="1" x14ac:dyDescent="0.35">
      <c r="B276" s="27">
        <v>35</v>
      </c>
      <c r="C276" s="27" t="s">
        <v>590</v>
      </c>
      <c r="D276" s="27" t="s">
        <v>591</v>
      </c>
      <c r="E276" s="36">
        <v>6</v>
      </c>
      <c r="F276" s="36">
        <v>2</v>
      </c>
    </row>
    <row r="277" spans="2:6" ht="15" customHeight="1" x14ac:dyDescent="0.35">
      <c r="B277" s="27">
        <v>36</v>
      </c>
      <c r="C277" s="28" t="s">
        <v>592</v>
      </c>
      <c r="D277" s="28" t="s">
        <v>593</v>
      </c>
      <c r="E277" s="36">
        <v>6</v>
      </c>
      <c r="F277" s="36">
        <v>2</v>
      </c>
    </row>
    <row r="278" spans="2:6" ht="15" customHeight="1" x14ac:dyDescent="0.35">
      <c r="B278" s="27">
        <v>37</v>
      </c>
      <c r="C278" s="27" t="s">
        <v>594</v>
      </c>
      <c r="D278" s="27" t="s">
        <v>595</v>
      </c>
      <c r="E278" s="36">
        <v>6</v>
      </c>
      <c r="F278" s="36">
        <v>2</v>
      </c>
    </row>
    <row r="279" spans="2:6" ht="15" customHeight="1" x14ac:dyDescent="0.35">
      <c r="B279" s="27">
        <v>38</v>
      </c>
      <c r="C279" s="28" t="s">
        <v>596</v>
      </c>
      <c r="D279" s="28" t="s">
        <v>597</v>
      </c>
      <c r="E279" s="36">
        <v>6</v>
      </c>
      <c r="F279" s="36">
        <v>2</v>
      </c>
    </row>
    <row r="280" spans="2:6" ht="15" customHeight="1" x14ac:dyDescent="0.35">
      <c r="C280" s="22"/>
      <c r="D280" s="23"/>
      <c r="E280" s="8">
        <f>SUM(E242:E279)</f>
        <v>216</v>
      </c>
      <c r="F280" s="8">
        <f>SUM(F242:F279)</f>
        <v>76</v>
      </c>
    </row>
    <row r="281" spans="2:6" ht="17.149999999999999" customHeight="1" x14ac:dyDescent="0.35">
      <c r="C281" s="22"/>
      <c r="D281" s="35" t="s">
        <v>1302</v>
      </c>
      <c r="E281" s="34">
        <f>SUM(E280+F280)</f>
        <v>292</v>
      </c>
      <c r="F281" s="29"/>
    </row>
    <row r="282" spans="2:6" ht="17.149999999999999" customHeight="1" x14ac:dyDescent="0.35">
      <c r="C282" s="22"/>
      <c r="D282" s="29"/>
      <c r="E282" s="29"/>
      <c r="F282" s="29"/>
    </row>
    <row r="283" spans="2:6" ht="15" customHeight="1" x14ac:dyDescent="0.35">
      <c r="C283" s="22"/>
      <c r="D283" s="23"/>
    </row>
    <row r="284" spans="2:6" ht="15" customHeight="1" x14ac:dyDescent="0.35">
      <c r="C284" s="22"/>
      <c r="D284" s="23"/>
    </row>
    <row r="285" spans="2:6" ht="15" customHeight="1" x14ac:dyDescent="0.35">
      <c r="C285" s="22" t="s">
        <v>137</v>
      </c>
      <c r="D285" s="23" t="s">
        <v>138</v>
      </c>
    </row>
    <row r="286" spans="2:6" ht="15" customHeight="1" x14ac:dyDescent="0.35">
      <c r="C286" s="22" t="s">
        <v>139</v>
      </c>
      <c r="D286" s="23" t="s">
        <v>140</v>
      </c>
    </row>
    <row r="287" spans="2:6" ht="15" customHeight="1" x14ac:dyDescent="0.35">
      <c r="C287" s="22" t="s">
        <v>141</v>
      </c>
      <c r="D287" s="23" t="s">
        <v>142</v>
      </c>
      <c r="E287" s="53" t="s">
        <v>1296</v>
      </c>
      <c r="F287" s="53"/>
    </row>
    <row r="288" spans="2:6" ht="15" customHeight="1" x14ac:dyDescent="0.35">
      <c r="C288" s="22" t="s">
        <v>17</v>
      </c>
      <c r="D288" s="23" t="s">
        <v>143</v>
      </c>
      <c r="E288" s="53"/>
      <c r="F288" s="53"/>
    </row>
    <row r="289" spans="2:6" ht="15" customHeight="1" x14ac:dyDescent="0.35">
      <c r="C289" s="22" t="s">
        <v>1</v>
      </c>
      <c r="D289" s="30" t="s">
        <v>10</v>
      </c>
      <c r="E289" s="24"/>
      <c r="F289" s="24"/>
    </row>
    <row r="290" spans="2:6" ht="15" customHeight="1" x14ac:dyDescent="0.35">
      <c r="B290" s="25" t="s">
        <v>144</v>
      </c>
      <c r="C290" s="25" t="s">
        <v>145</v>
      </c>
      <c r="D290" s="25" t="s">
        <v>146</v>
      </c>
      <c r="E290" s="26" t="s">
        <v>1298</v>
      </c>
      <c r="F290" s="39">
        <v>2</v>
      </c>
    </row>
    <row r="291" spans="2:6" ht="15" customHeight="1" x14ac:dyDescent="0.35">
      <c r="B291" s="27">
        <v>1</v>
      </c>
      <c r="C291" s="27" t="s">
        <v>598</v>
      </c>
      <c r="D291" s="27" t="s">
        <v>599</v>
      </c>
      <c r="E291" s="33">
        <v>6</v>
      </c>
      <c r="F291" s="33">
        <v>2</v>
      </c>
    </row>
    <row r="292" spans="2:6" ht="15" customHeight="1" x14ac:dyDescent="0.35">
      <c r="B292" s="28">
        <v>2</v>
      </c>
      <c r="C292" s="28" t="s">
        <v>600</v>
      </c>
      <c r="D292" s="28" t="s">
        <v>601</v>
      </c>
      <c r="E292" s="33">
        <v>6</v>
      </c>
      <c r="F292" s="33">
        <v>2</v>
      </c>
    </row>
    <row r="293" spans="2:6" ht="15" customHeight="1" x14ac:dyDescent="0.35">
      <c r="B293" s="27">
        <v>3</v>
      </c>
      <c r="C293" s="27" t="s">
        <v>602</v>
      </c>
      <c r="D293" s="27" t="s">
        <v>603</v>
      </c>
      <c r="E293" s="33">
        <v>6</v>
      </c>
      <c r="F293" s="33">
        <v>2</v>
      </c>
    </row>
    <row r="294" spans="2:6" ht="15" customHeight="1" x14ac:dyDescent="0.35">
      <c r="B294" s="28">
        <v>4</v>
      </c>
      <c r="C294" s="28" t="s">
        <v>604</v>
      </c>
      <c r="D294" s="28" t="s">
        <v>605</v>
      </c>
      <c r="E294" s="33">
        <v>6</v>
      </c>
      <c r="F294" s="33">
        <v>2</v>
      </c>
    </row>
    <row r="295" spans="2:6" ht="15" customHeight="1" x14ac:dyDescent="0.35">
      <c r="B295" s="27">
        <v>5</v>
      </c>
      <c r="C295" s="27" t="s">
        <v>606</v>
      </c>
      <c r="D295" s="27" t="s">
        <v>607</v>
      </c>
      <c r="E295" s="33">
        <v>6</v>
      </c>
      <c r="F295" s="33">
        <v>2</v>
      </c>
    </row>
    <row r="296" spans="2:6" ht="15" customHeight="1" x14ac:dyDescent="0.35">
      <c r="B296" s="28">
        <v>6</v>
      </c>
      <c r="C296" s="28" t="s">
        <v>608</v>
      </c>
      <c r="D296" s="28" t="s">
        <v>609</v>
      </c>
      <c r="E296" s="33">
        <v>6</v>
      </c>
      <c r="F296" s="33">
        <v>2</v>
      </c>
    </row>
    <row r="297" spans="2:6" ht="15" customHeight="1" x14ac:dyDescent="0.35">
      <c r="B297" s="27">
        <v>7</v>
      </c>
      <c r="C297" s="27" t="s">
        <v>610</v>
      </c>
      <c r="D297" s="27" t="s">
        <v>611</v>
      </c>
      <c r="E297" s="33">
        <v>6</v>
      </c>
      <c r="F297" s="33">
        <v>2</v>
      </c>
    </row>
    <row r="298" spans="2:6" ht="15" customHeight="1" x14ac:dyDescent="0.35">
      <c r="B298" s="28">
        <v>8</v>
      </c>
      <c r="C298" s="28" t="s">
        <v>612</v>
      </c>
      <c r="D298" s="28" t="s">
        <v>613</v>
      </c>
      <c r="E298" s="33">
        <v>6</v>
      </c>
      <c r="F298" s="33">
        <v>2</v>
      </c>
    </row>
    <row r="299" spans="2:6" ht="15" customHeight="1" x14ac:dyDescent="0.35">
      <c r="B299" s="27">
        <v>9</v>
      </c>
      <c r="C299" s="27" t="s">
        <v>614</v>
      </c>
      <c r="D299" s="27" t="s">
        <v>615</v>
      </c>
      <c r="E299" s="33">
        <v>6</v>
      </c>
      <c r="F299" s="33">
        <v>2</v>
      </c>
    </row>
    <row r="300" spans="2:6" ht="15" customHeight="1" x14ac:dyDescent="0.35">
      <c r="B300" s="28">
        <v>10</v>
      </c>
      <c r="C300" s="28" t="s">
        <v>616</v>
      </c>
      <c r="D300" s="28" t="s">
        <v>617</v>
      </c>
      <c r="E300" s="33">
        <v>6</v>
      </c>
      <c r="F300" s="33">
        <v>2</v>
      </c>
    </row>
    <row r="301" spans="2:6" ht="15" customHeight="1" x14ac:dyDescent="0.35">
      <c r="B301" s="27">
        <v>11</v>
      </c>
      <c r="C301" s="27" t="s">
        <v>618</v>
      </c>
      <c r="D301" s="27" t="s">
        <v>619</v>
      </c>
      <c r="E301" s="33">
        <v>6</v>
      </c>
      <c r="F301" s="33">
        <v>2</v>
      </c>
    </row>
    <row r="302" spans="2:6" ht="15" customHeight="1" x14ac:dyDescent="0.35">
      <c r="B302" s="28">
        <v>12</v>
      </c>
      <c r="C302" s="28" t="s">
        <v>620</v>
      </c>
      <c r="D302" s="28" t="s">
        <v>621</v>
      </c>
      <c r="E302" s="33">
        <v>6</v>
      </c>
      <c r="F302" s="33">
        <v>2</v>
      </c>
    </row>
    <row r="303" spans="2:6" ht="15" customHeight="1" x14ac:dyDescent="0.35">
      <c r="B303" s="27">
        <v>13</v>
      </c>
      <c r="C303" s="27" t="s">
        <v>622</v>
      </c>
      <c r="D303" s="27" t="s">
        <v>623</v>
      </c>
      <c r="E303" s="33">
        <v>6</v>
      </c>
      <c r="F303" s="33">
        <v>2</v>
      </c>
    </row>
    <row r="304" spans="2:6" ht="15" customHeight="1" x14ac:dyDescent="0.35">
      <c r="B304" s="28">
        <v>14</v>
      </c>
      <c r="C304" s="28" t="s">
        <v>624</v>
      </c>
      <c r="D304" s="28" t="s">
        <v>625</v>
      </c>
      <c r="E304" s="33">
        <v>6</v>
      </c>
      <c r="F304" s="33">
        <v>2</v>
      </c>
    </row>
    <row r="305" spans="2:6" ht="15" customHeight="1" x14ac:dyDescent="0.35">
      <c r="B305" s="27">
        <v>15</v>
      </c>
      <c r="C305" s="27" t="s">
        <v>626</v>
      </c>
      <c r="D305" s="27" t="s">
        <v>627</v>
      </c>
      <c r="E305" s="33">
        <v>6</v>
      </c>
      <c r="F305" s="33">
        <v>2</v>
      </c>
    </row>
    <row r="306" spans="2:6" ht="15" customHeight="1" x14ac:dyDescent="0.35">
      <c r="B306" s="28">
        <v>16</v>
      </c>
      <c r="C306" s="28" t="s">
        <v>628</v>
      </c>
      <c r="D306" s="28" t="s">
        <v>629</v>
      </c>
      <c r="E306" s="33">
        <v>6</v>
      </c>
      <c r="F306" s="33">
        <v>2</v>
      </c>
    </row>
    <row r="307" spans="2:6" ht="15" customHeight="1" x14ac:dyDescent="0.35">
      <c r="B307" s="27">
        <v>17</v>
      </c>
      <c r="C307" s="27" t="s">
        <v>630</v>
      </c>
      <c r="D307" s="27" t="s">
        <v>631</v>
      </c>
      <c r="E307" s="33">
        <v>6</v>
      </c>
      <c r="F307" s="33">
        <v>2</v>
      </c>
    </row>
    <row r="308" spans="2:6" ht="15" customHeight="1" x14ac:dyDescent="0.35">
      <c r="B308" s="28">
        <v>18</v>
      </c>
      <c r="C308" s="28" t="s">
        <v>632</v>
      </c>
      <c r="D308" s="28" t="s">
        <v>633</v>
      </c>
      <c r="E308" s="33">
        <v>6</v>
      </c>
      <c r="F308" s="33">
        <v>2</v>
      </c>
    </row>
    <row r="309" spans="2:6" ht="15" customHeight="1" x14ac:dyDescent="0.35">
      <c r="B309" s="27">
        <v>19</v>
      </c>
      <c r="C309" s="27" t="s">
        <v>634</v>
      </c>
      <c r="D309" s="27" t="s">
        <v>635</v>
      </c>
      <c r="E309" s="33">
        <v>6</v>
      </c>
      <c r="F309" s="33">
        <v>2</v>
      </c>
    </row>
    <row r="310" spans="2:6" ht="15" customHeight="1" x14ac:dyDescent="0.35">
      <c r="B310" s="28">
        <v>20</v>
      </c>
      <c r="C310" s="28" t="s">
        <v>636</v>
      </c>
      <c r="D310" s="28" t="s">
        <v>637</v>
      </c>
      <c r="E310" s="33">
        <v>6</v>
      </c>
      <c r="F310" s="33">
        <v>2</v>
      </c>
    </row>
    <row r="311" spans="2:6" ht="15" customHeight="1" x14ac:dyDescent="0.35">
      <c r="B311" s="27">
        <v>21</v>
      </c>
      <c r="C311" s="27" t="s">
        <v>638</v>
      </c>
      <c r="D311" s="27" t="s">
        <v>639</v>
      </c>
      <c r="E311" s="33">
        <v>6</v>
      </c>
      <c r="F311" s="33">
        <v>2</v>
      </c>
    </row>
    <row r="312" spans="2:6" ht="15" customHeight="1" x14ac:dyDescent="0.35">
      <c r="B312" s="28">
        <v>22</v>
      </c>
      <c r="C312" s="28" t="s">
        <v>640</v>
      </c>
      <c r="D312" s="28" t="s">
        <v>641</v>
      </c>
      <c r="E312" s="33">
        <v>6</v>
      </c>
      <c r="F312" s="33">
        <v>2</v>
      </c>
    </row>
    <row r="313" spans="2:6" ht="15" customHeight="1" x14ac:dyDescent="0.35">
      <c r="B313" s="27">
        <v>23</v>
      </c>
      <c r="C313" s="27" t="s">
        <v>642</v>
      </c>
      <c r="D313" s="27" t="s">
        <v>643</v>
      </c>
      <c r="E313" s="33">
        <v>6</v>
      </c>
      <c r="F313" s="33">
        <v>2</v>
      </c>
    </row>
    <row r="314" spans="2:6" ht="15" customHeight="1" x14ac:dyDescent="0.35">
      <c r="B314" s="28">
        <v>24</v>
      </c>
      <c r="C314" s="28" t="s">
        <v>644</v>
      </c>
      <c r="D314" s="28" t="s">
        <v>645</v>
      </c>
      <c r="E314" s="33">
        <v>6</v>
      </c>
      <c r="F314" s="33">
        <v>2</v>
      </c>
    </row>
    <row r="315" spans="2:6" ht="15" customHeight="1" x14ac:dyDescent="0.35">
      <c r="B315" s="27">
        <v>25</v>
      </c>
      <c r="C315" s="27" t="s">
        <v>646</v>
      </c>
      <c r="D315" s="27" t="s">
        <v>647</v>
      </c>
      <c r="E315" s="33">
        <v>6</v>
      </c>
      <c r="F315" s="33">
        <v>2</v>
      </c>
    </row>
    <row r="316" spans="2:6" ht="15" customHeight="1" x14ac:dyDescent="0.35">
      <c r="B316" s="28">
        <v>26</v>
      </c>
      <c r="C316" s="28" t="s">
        <v>648</v>
      </c>
      <c r="D316" s="28" t="s">
        <v>649</v>
      </c>
      <c r="E316" s="33">
        <v>6</v>
      </c>
      <c r="F316" s="33">
        <v>2</v>
      </c>
    </row>
    <row r="317" spans="2:6" ht="15" customHeight="1" x14ac:dyDescent="0.35">
      <c r="B317" s="27">
        <v>27</v>
      </c>
      <c r="C317" s="27" t="s">
        <v>650</v>
      </c>
      <c r="D317" s="27" t="s">
        <v>651</v>
      </c>
      <c r="E317" s="33">
        <v>6</v>
      </c>
      <c r="F317" s="33">
        <v>2</v>
      </c>
    </row>
    <row r="318" spans="2:6" ht="15" customHeight="1" x14ac:dyDescent="0.35">
      <c r="B318" s="28">
        <v>28</v>
      </c>
      <c r="C318" s="28" t="s">
        <v>652</v>
      </c>
      <c r="D318" s="28" t="s">
        <v>653</v>
      </c>
      <c r="E318" s="33">
        <v>6</v>
      </c>
      <c r="F318" s="33">
        <v>2</v>
      </c>
    </row>
    <row r="319" spans="2:6" ht="15" customHeight="1" x14ac:dyDescent="0.35">
      <c r="B319" s="27">
        <v>29</v>
      </c>
      <c r="C319" s="27" t="s">
        <v>654</v>
      </c>
      <c r="D319" s="27" t="s">
        <v>655</v>
      </c>
      <c r="E319" s="33">
        <v>6</v>
      </c>
      <c r="F319" s="33">
        <v>2</v>
      </c>
    </row>
    <row r="320" spans="2:6" ht="15" customHeight="1" x14ac:dyDescent="0.35">
      <c r="B320" s="28">
        <v>30</v>
      </c>
      <c r="C320" s="28" t="s">
        <v>656</v>
      </c>
      <c r="D320" s="28" t="s">
        <v>657</v>
      </c>
      <c r="E320" s="33">
        <v>6</v>
      </c>
      <c r="F320" s="33">
        <v>2</v>
      </c>
    </row>
    <row r="321" spans="2:6" ht="15" customHeight="1" x14ac:dyDescent="0.35">
      <c r="B321" s="27">
        <v>31</v>
      </c>
      <c r="C321" s="27" t="s">
        <v>658</v>
      </c>
      <c r="D321" s="27" t="s">
        <v>659</v>
      </c>
      <c r="E321" s="33">
        <v>6</v>
      </c>
      <c r="F321" s="33">
        <v>2</v>
      </c>
    </row>
    <row r="322" spans="2:6" ht="15" customHeight="1" x14ac:dyDescent="0.35">
      <c r="B322" s="28">
        <v>32</v>
      </c>
      <c r="C322" s="28" t="s">
        <v>660</v>
      </c>
      <c r="D322" s="28" t="s">
        <v>661</v>
      </c>
      <c r="E322" s="33">
        <v>6</v>
      </c>
      <c r="F322" s="33">
        <v>2</v>
      </c>
    </row>
    <row r="323" spans="2:6" ht="15" customHeight="1" x14ac:dyDescent="0.35">
      <c r="B323" s="27">
        <v>33</v>
      </c>
      <c r="C323" s="27" t="s">
        <v>662</v>
      </c>
      <c r="D323" s="27" t="s">
        <v>663</v>
      </c>
      <c r="E323" s="33">
        <v>6</v>
      </c>
      <c r="F323" s="33">
        <v>2</v>
      </c>
    </row>
    <row r="324" spans="2:6" ht="15" customHeight="1" x14ac:dyDescent="0.35">
      <c r="B324" s="28">
        <v>34</v>
      </c>
      <c r="C324" s="28" t="s">
        <v>664</v>
      </c>
      <c r="D324" s="28" t="s">
        <v>665</v>
      </c>
      <c r="E324" s="33">
        <v>6</v>
      </c>
      <c r="F324" s="33">
        <v>2</v>
      </c>
    </row>
    <row r="325" spans="2:6" ht="15" customHeight="1" x14ac:dyDescent="0.35">
      <c r="B325" s="27">
        <v>35</v>
      </c>
      <c r="C325" s="27" t="s">
        <v>666</v>
      </c>
      <c r="D325" s="27" t="s">
        <v>667</v>
      </c>
      <c r="E325" s="33">
        <v>0</v>
      </c>
      <c r="F325" s="33">
        <v>2</v>
      </c>
    </row>
    <row r="326" spans="2:6" ht="15" customHeight="1" x14ac:dyDescent="0.35">
      <c r="B326" s="28">
        <v>36</v>
      </c>
      <c r="C326" s="28" t="s">
        <v>668</v>
      </c>
      <c r="D326" s="28" t="s">
        <v>669</v>
      </c>
      <c r="E326" s="33">
        <v>6</v>
      </c>
      <c r="F326" s="33">
        <v>2</v>
      </c>
    </row>
    <row r="327" spans="2:6" ht="15" customHeight="1" x14ac:dyDescent="0.35">
      <c r="B327" s="27">
        <v>37</v>
      </c>
      <c r="C327" s="27" t="s">
        <v>670</v>
      </c>
      <c r="D327" s="27" t="s">
        <v>671</v>
      </c>
      <c r="E327" s="33">
        <v>6</v>
      </c>
      <c r="F327" s="33">
        <v>2</v>
      </c>
    </row>
    <row r="328" spans="2:6" ht="15" customHeight="1" x14ac:dyDescent="0.35">
      <c r="B328" s="28">
        <v>38</v>
      </c>
      <c r="C328" s="28" t="s">
        <v>672</v>
      </c>
      <c r="D328" s="28" t="s">
        <v>673</v>
      </c>
      <c r="E328" s="33">
        <v>6</v>
      </c>
      <c r="F328" s="33">
        <v>2</v>
      </c>
    </row>
    <row r="329" spans="2:6" ht="15" customHeight="1" x14ac:dyDescent="0.35">
      <c r="B329" s="27">
        <v>39</v>
      </c>
      <c r="C329" s="27" t="s">
        <v>674</v>
      </c>
      <c r="D329" s="27" t="s">
        <v>675</v>
      </c>
      <c r="E329" s="33">
        <v>6</v>
      </c>
      <c r="F329" s="33">
        <v>2</v>
      </c>
    </row>
    <row r="330" spans="2:6" ht="15" customHeight="1" x14ac:dyDescent="0.35">
      <c r="B330" s="28">
        <v>40</v>
      </c>
      <c r="C330" s="28" t="s">
        <v>676</v>
      </c>
      <c r="D330" s="28" t="s">
        <v>677</v>
      </c>
      <c r="E330" s="33">
        <v>6</v>
      </c>
      <c r="F330" s="33">
        <v>2</v>
      </c>
    </row>
    <row r="331" spans="2:6" ht="15" customHeight="1" x14ac:dyDescent="0.35">
      <c r="C331" s="22"/>
      <c r="D331" s="23"/>
      <c r="E331" s="8">
        <f>SUM(E291:E330)</f>
        <v>234</v>
      </c>
      <c r="F331" s="8">
        <f>SUM(F291:F330)</f>
        <v>80</v>
      </c>
    </row>
    <row r="332" spans="2:6" ht="17.149999999999999" customHeight="1" x14ac:dyDescent="0.35">
      <c r="C332" s="22"/>
      <c r="D332" s="35" t="s">
        <v>1302</v>
      </c>
      <c r="E332" s="34">
        <f>SUM(E331+F331)</f>
        <v>314</v>
      </c>
      <c r="F332" s="29"/>
    </row>
    <row r="333" spans="2:6" ht="17.149999999999999" customHeight="1" x14ac:dyDescent="0.35">
      <c r="C333" s="22"/>
      <c r="D333" s="29"/>
      <c r="E333" s="29"/>
      <c r="F333" s="29"/>
    </row>
    <row r="334" spans="2:6" ht="15" customHeight="1" x14ac:dyDescent="0.35">
      <c r="C334" s="22"/>
      <c r="D334" s="23"/>
    </row>
    <row r="335" spans="2:6" ht="15" customHeight="1" x14ac:dyDescent="0.35">
      <c r="C335" s="22" t="s">
        <v>137</v>
      </c>
      <c r="D335" s="23" t="s">
        <v>138</v>
      </c>
    </row>
    <row r="336" spans="2:6" ht="15" customHeight="1" x14ac:dyDescent="0.35">
      <c r="C336" s="22" t="s">
        <v>139</v>
      </c>
      <c r="D336" s="23" t="s">
        <v>140</v>
      </c>
    </row>
    <row r="337" spans="2:6" ht="15" customHeight="1" x14ac:dyDescent="0.35">
      <c r="C337" s="22" t="s">
        <v>141</v>
      </c>
      <c r="D337" s="23" t="s">
        <v>142</v>
      </c>
      <c r="E337" s="53" t="s">
        <v>1296</v>
      </c>
      <c r="F337" s="53"/>
    </row>
    <row r="338" spans="2:6" ht="15" customHeight="1" x14ac:dyDescent="0.35">
      <c r="C338" s="22" t="s">
        <v>17</v>
      </c>
      <c r="D338" s="23" t="s">
        <v>143</v>
      </c>
      <c r="E338" s="53"/>
      <c r="F338" s="53"/>
    </row>
    <row r="339" spans="2:6" ht="15" customHeight="1" x14ac:dyDescent="0.35">
      <c r="C339" s="22" t="s">
        <v>1</v>
      </c>
      <c r="D339" s="30" t="s">
        <v>11</v>
      </c>
      <c r="E339" s="24"/>
      <c r="F339" s="24"/>
    </row>
    <row r="340" spans="2:6" ht="15" customHeight="1" x14ac:dyDescent="0.35">
      <c r="B340" s="25" t="s">
        <v>144</v>
      </c>
      <c r="C340" s="25" t="s">
        <v>145</v>
      </c>
      <c r="D340" s="25" t="s">
        <v>146</v>
      </c>
      <c r="E340" s="26" t="s">
        <v>1315</v>
      </c>
      <c r="F340" s="39">
        <v>2</v>
      </c>
    </row>
    <row r="341" spans="2:6" ht="15" customHeight="1" x14ac:dyDescent="0.35">
      <c r="B341" s="27">
        <v>1</v>
      </c>
      <c r="C341" s="27" t="s">
        <v>678</v>
      </c>
      <c r="D341" s="27" t="s">
        <v>679</v>
      </c>
      <c r="E341" s="1">
        <v>6</v>
      </c>
      <c r="F341" s="33">
        <v>2</v>
      </c>
    </row>
    <row r="342" spans="2:6" ht="15" customHeight="1" x14ac:dyDescent="0.35">
      <c r="B342" s="27">
        <v>2</v>
      </c>
      <c r="C342" s="28" t="s">
        <v>680</v>
      </c>
      <c r="D342" s="28" t="s">
        <v>681</v>
      </c>
      <c r="E342" s="1">
        <v>6</v>
      </c>
      <c r="F342" s="33">
        <v>2</v>
      </c>
    </row>
    <row r="343" spans="2:6" ht="15" customHeight="1" x14ac:dyDescent="0.35">
      <c r="B343" s="27">
        <v>3</v>
      </c>
      <c r="C343" s="27" t="s">
        <v>682</v>
      </c>
      <c r="D343" s="27" t="s">
        <v>683</v>
      </c>
      <c r="E343" s="1">
        <v>6</v>
      </c>
      <c r="F343" s="33">
        <v>2</v>
      </c>
    </row>
    <row r="344" spans="2:6" ht="15" customHeight="1" x14ac:dyDescent="0.35">
      <c r="B344" s="27">
        <v>4</v>
      </c>
      <c r="C344" s="28" t="s">
        <v>684</v>
      </c>
      <c r="D344" s="28" t="s">
        <v>685</v>
      </c>
      <c r="E344" s="1">
        <v>6</v>
      </c>
      <c r="F344" s="33">
        <v>2</v>
      </c>
    </row>
    <row r="345" spans="2:6" ht="15" customHeight="1" x14ac:dyDescent="0.35">
      <c r="B345" s="27">
        <v>5</v>
      </c>
      <c r="C345" s="27" t="s">
        <v>686</v>
      </c>
      <c r="D345" s="27" t="s">
        <v>687</v>
      </c>
      <c r="E345" s="1">
        <v>6</v>
      </c>
      <c r="F345" s="33">
        <v>2</v>
      </c>
    </row>
    <row r="346" spans="2:6" ht="15" customHeight="1" x14ac:dyDescent="0.35">
      <c r="B346" s="27">
        <v>6</v>
      </c>
      <c r="C346" s="28" t="s">
        <v>688</v>
      </c>
      <c r="D346" s="28" t="s">
        <v>689</v>
      </c>
      <c r="E346" s="1">
        <v>6</v>
      </c>
      <c r="F346" s="33">
        <v>2</v>
      </c>
    </row>
    <row r="347" spans="2:6" ht="15" customHeight="1" x14ac:dyDescent="0.35">
      <c r="B347" s="27">
        <v>7</v>
      </c>
      <c r="C347" s="27" t="s">
        <v>690</v>
      </c>
      <c r="D347" s="27" t="s">
        <v>691</v>
      </c>
      <c r="E347" s="1">
        <v>6</v>
      </c>
      <c r="F347" s="33">
        <v>2</v>
      </c>
    </row>
    <row r="348" spans="2:6" ht="15" customHeight="1" x14ac:dyDescent="0.35">
      <c r="B348" s="27">
        <v>8</v>
      </c>
      <c r="C348" s="28" t="s">
        <v>692</v>
      </c>
      <c r="D348" s="28" t="s">
        <v>693</v>
      </c>
      <c r="E348" s="1">
        <v>6</v>
      </c>
      <c r="F348" s="33">
        <v>2</v>
      </c>
    </row>
    <row r="349" spans="2:6" ht="15" customHeight="1" x14ac:dyDescent="0.35">
      <c r="B349" s="27">
        <v>9</v>
      </c>
      <c r="C349" s="27" t="s">
        <v>694</v>
      </c>
      <c r="D349" s="27" t="s">
        <v>695</v>
      </c>
      <c r="E349" s="1">
        <v>6</v>
      </c>
      <c r="F349" s="33">
        <v>2</v>
      </c>
    </row>
    <row r="350" spans="2:6" ht="15" customHeight="1" x14ac:dyDescent="0.35">
      <c r="B350" s="27">
        <v>10</v>
      </c>
      <c r="C350" s="27" t="s">
        <v>696</v>
      </c>
      <c r="D350" s="27" t="s">
        <v>697</v>
      </c>
      <c r="E350" s="1">
        <v>6</v>
      </c>
      <c r="F350" s="33">
        <v>2</v>
      </c>
    </row>
    <row r="351" spans="2:6" ht="15" customHeight="1" x14ac:dyDescent="0.35">
      <c r="B351" s="27">
        <v>11</v>
      </c>
      <c r="C351" s="28" t="s">
        <v>698</v>
      </c>
      <c r="D351" s="28" t="s">
        <v>699</v>
      </c>
      <c r="E351" s="33">
        <v>6</v>
      </c>
      <c r="F351" s="33">
        <v>2</v>
      </c>
    </row>
    <row r="352" spans="2:6" ht="15" customHeight="1" x14ac:dyDescent="0.35">
      <c r="B352" s="27">
        <v>12</v>
      </c>
      <c r="C352" s="27" t="s">
        <v>700</v>
      </c>
      <c r="D352" s="27" t="s">
        <v>701</v>
      </c>
      <c r="E352" s="33">
        <v>6</v>
      </c>
      <c r="F352" s="33">
        <v>2</v>
      </c>
    </row>
    <row r="353" spans="2:6" ht="15" customHeight="1" x14ac:dyDescent="0.35">
      <c r="B353" s="27">
        <v>13</v>
      </c>
      <c r="C353" s="28" t="s">
        <v>702</v>
      </c>
      <c r="D353" s="28" t="s">
        <v>703</v>
      </c>
      <c r="E353" s="33">
        <v>6</v>
      </c>
      <c r="F353" s="33">
        <v>2</v>
      </c>
    </row>
    <row r="354" spans="2:6" ht="15" customHeight="1" x14ac:dyDescent="0.35">
      <c r="B354" s="27">
        <v>14</v>
      </c>
      <c r="C354" s="27" t="s">
        <v>704</v>
      </c>
      <c r="D354" s="27" t="s">
        <v>705</v>
      </c>
      <c r="E354" s="33">
        <v>6</v>
      </c>
      <c r="F354" s="33">
        <v>2</v>
      </c>
    </row>
    <row r="355" spans="2:6" ht="15" customHeight="1" x14ac:dyDescent="0.35">
      <c r="B355" s="27">
        <v>15</v>
      </c>
      <c r="C355" s="28" t="s">
        <v>706</v>
      </c>
      <c r="D355" s="28" t="s">
        <v>707</v>
      </c>
      <c r="E355" s="33">
        <v>6</v>
      </c>
      <c r="F355" s="33">
        <v>2</v>
      </c>
    </row>
    <row r="356" spans="2:6" ht="15" customHeight="1" x14ac:dyDescent="0.35">
      <c r="B356" s="27">
        <v>16</v>
      </c>
      <c r="C356" s="27" t="s">
        <v>708</v>
      </c>
      <c r="D356" s="27" t="s">
        <v>709</v>
      </c>
      <c r="E356" s="33">
        <v>6</v>
      </c>
      <c r="F356" s="33">
        <v>2</v>
      </c>
    </row>
    <row r="357" spans="2:6" ht="15" customHeight="1" x14ac:dyDescent="0.35">
      <c r="B357" s="27">
        <v>17</v>
      </c>
      <c r="C357" s="28" t="s">
        <v>710</v>
      </c>
      <c r="D357" s="28" t="s">
        <v>711</v>
      </c>
      <c r="E357" s="33">
        <v>6</v>
      </c>
      <c r="F357" s="33">
        <v>2</v>
      </c>
    </row>
    <row r="358" spans="2:6" ht="15" customHeight="1" x14ac:dyDescent="0.35">
      <c r="B358" s="27">
        <v>18</v>
      </c>
      <c r="C358" s="27" t="s">
        <v>712</v>
      </c>
      <c r="D358" s="27" t="s">
        <v>713</v>
      </c>
      <c r="E358" s="33">
        <v>6</v>
      </c>
      <c r="F358" s="33">
        <v>2</v>
      </c>
    </row>
    <row r="359" spans="2:6" ht="15" customHeight="1" x14ac:dyDescent="0.35">
      <c r="B359" s="27">
        <v>19</v>
      </c>
      <c r="C359" s="28" t="s">
        <v>714</v>
      </c>
      <c r="D359" s="28" t="s">
        <v>715</v>
      </c>
      <c r="E359" s="33">
        <v>6</v>
      </c>
      <c r="F359" s="33">
        <v>2</v>
      </c>
    </row>
    <row r="360" spans="2:6" ht="15" customHeight="1" x14ac:dyDescent="0.35">
      <c r="B360" s="27">
        <v>20</v>
      </c>
      <c r="C360" s="27" t="s">
        <v>716</v>
      </c>
      <c r="D360" s="27" t="s">
        <v>717</v>
      </c>
      <c r="E360" s="33">
        <v>6</v>
      </c>
      <c r="F360" s="33">
        <v>2</v>
      </c>
    </row>
    <row r="361" spans="2:6" ht="15" customHeight="1" x14ac:dyDescent="0.35">
      <c r="B361" s="27">
        <v>21</v>
      </c>
      <c r="C361" s="28" t="s">
        <v>718</v>
      </c>
      <c r="D361" s="28" t="s">
        <v>719</v>
      </c>
      <c r="E361" s="33">
        <v>6</v>
      </c>
      <c r="F361" s="33">
        <v>2</v>
      </c>
    </row>
    <row r="362" spans="2:6" ht="15" customHeight="1" x14ac:dyDescent="0.35">
      <c r="B362" s="27">
        <v>22</v>
      </c>
      <c r="C362" s="27" t="s">
        <v>720</v>
      </c>
      <c r="D362" s="27" t="s">
        <v>721</v>
      </c>
      <c r="E362" s="33">
        <v>6</v>
      </c>
      <c r="F362" s="33">
        <v>2</v>
      </c>
    </row>
    <row r="363" spans="2:6" ht="15" customHeight="1" x14ac:dyDescent="0.35">
      <c r="B363" s="27">
        <v>23</v>
      </c>
      <c r="C363" s="28" t="s">
        <v>722</v>
      </c>
      <c r="D363" s="28" t="s">
        <v>723</v>
      </c>
      <c r="E363" s="33">
        <v>6</v>
      </c>
      <c r="F363" s="33">
        <v>2</v>
      </c>
    </row>
    <row r="364" spans="2:6" ht="15" customHeight="1" x14ac:dyDescent="0.35">
      <c r="B364" s="27">
        <v>24</v>
      </c>
      <c r="C364" s="28" t="s">
        <v>724</v>
      </c>
      <c r="D364" s="28" t="s">
        <v>725</v>
      </c>
      <c r="E364" s="33">
        <v>6</v>
      </c>
      <c r="F364" s="33">
        <v>2</v>
      </c>
    </row>
    <row r="365" spans="2:6" ht="15" customHeight="1" x14ac:dyDescent="0.35">
      <c r="B365" s="27">
        <v>25</v>
      </c>
      <c r="C365" s="27" t="s">
        <v>726</v>
      </c>
      <c r="D365" s="27" t="s">
        <v>727</v>
      </c>
      <c r="E365" s="33">
        <v>6</v>
      </c>
      <c r="F365" s="33">
        <v>2</v>
      </c>
    </row>
    <row r="366" spans="2:6" ht="15" customHeight="1" x14ac:dyDescent="0.35">
      <c r="B366" s="27">
        <v>26</v>
      </c>
      <c r="C366" s="28" t="s">
        <v>728</v>
      </c>
      <c r="D366" s="28" t="s">
        <v>729</v>
      </c>
      <c r="E366" s="33">
        <v>6</v>
      </c>
      <c r="F366" s="33">
        <v>2</v>
      </c>
    </row>
    <row r="367" spans="2:6" ht="15" customHeight="1" x14ac:dyDescent="0.35">
      <c r="B367" s="27">
        <v>27</v>
      </c>
      <c r="C367" s="28" t="s">
        <v>730</v>
      </c>
      <c r="D367" s="28" t="s">
        <v>731</v>
      </c>
      <c r="E367" s="33">
        <v>6</v>
      </c>
      <c r="F367" s="33">
        <v>2</v>
      </c>
    </row>
    <row r="368" spans="2:6" ht="15" customHeight="1" x14ac:dyDescent="0.35">
      <c r="B368" s="27">
        <v>28</v>
      </c>
      <c r="C368" s="27" t="s">
        <v>732</v>
      </c>
      <c r="D368" s="27" t="s">
        <v>733</v>
      </c>
      <c r="E368" s="33">
        <v>6</v>
      </c>
      <c r="F368" s="33">
        <v>2</v>
      </c>
    </row>
    <row r="369" spans="2:6" ht="15" customHeight="1" x14ac:dyDescent="0.35">
      <c r="B369" s="27">
        <v>29</v>
      </c>
      <c r="C369" s="28" t="s">
        <v>734</v>
      </c>
      <c r="D369" s="28" t="s">
        <v>735</v>
      </c>
      <c r="E369" s="33">
        <v>6</v>
      </c>
      <c r="F369" s="33">
        <v>2</v>
      </c>
    </row>
    <row r="370" spans="2:6" ht="15" customHeight="1" x14ac:dyDescent="0.35">
      <c r="B370" s="27">
        <v>30</v>
      </c>
      <c r="C370" s="28" t="s">
        <v>736</v>
      </c>
      <c r="D370" s="28" t="s">
        <v>737</v>
      </c>
      <c r="E370" s="33">
        <v>6</v>
      </c>
      <c r="F370" s="33">
        <v>2</v>
      </c>
    </row>
    <row r="371" spans="2:6" ht="15" customHeight="1" x14ac:dyDescent="0.35">
      <c r="B371" s="27">
        <v>31</v>
      </c>
      <c r="C371" s="28" t="s">
        <v>738</v>
      </c>
      <c r="D371" s="28" t="s">
        <v>739</v>
      </c>
      <c r="E371" s="33">
        <v>6</v>
      </c>
      <c r="F371" s="33">
        <v>2</v>
      </c>
    </row>
    <row r="372" spans="2:6" ht="15" customHeight="1" x14ac:dyDescent="0.35">
      <c r="B372" s="27">
        <v>32</v>
      </c>
      <c r="C372" s="27" t="s">
        <v>740</v>
      </c>
      <c r="D372" s="27" t="s">
        <v>741</v>
      </c>
      <c r="E372" s="33">
        <v>6</v>
      </c>
      <c r="F372" s="33">
        <v>2</v>
      </c>
    </row>
    <row r="373" spans="2:6" ht="15" customHeight="1" x14ac:dyDescent="0.35">
      <c r="B373" s="27">
        <v>33</v>
      </c>
      <c r="C373" s="28" t="s">
        <v>742</v>
      </c>
      <c r="D373" s="28" t="s">
        <v>743</v>
      </c>
      <c r="E373" s="33">
        <v>6</v>
      </c>
      <c r="F373" s="33">
        <v>2</v>
      </c>
    </row>
    <row r="374" spans="2:6" ht="15" customHeight="1" x14ac:dyDescent="0.35">
      <c r="B374" s="27">
        <v>34</v>
      </c>
      <c r="C374" s="27" t="s">
        <v>744</v>
      </c>
      <c r="D374" s="27" t="s">
        <v>745</v>
      </c>
      <c r="E374" s="33">
        <v>0</v>
      </c>
      <c r="F374" s="33">
        <v>2</v>
      </c>
    </row>
    <row r="375" spans="2:6" ht="15" customHeight="1" x14ac:dyDescent="0.35">
      <c r="B375" s="27">
        <v>35</v>
      </c>
      <c r="C375" s="28" t="s">
        <v>746</v>
      </c>
      <c r="D375" s="28" t="s">
        <v>747</v>
      </c>
      <c r="E375" s="33">
        <v>6</v>
      </c>
      <c r="F375" s="33">
        <v>2</v>
      </c>
    </row>
    <row r="376" spans="2:6" ht="15" customHeight="1" x14ac:dyDescent="0.35">
      <c r="E376" s="8">
        <f>SUM(E341:E375)</f>
        <v>204</v>
      </c>
      <c r="F376" s="8">
        <f>SUM(F341:F375)</f>
        <v>70</v>
      </c>
    </row>
    <row r="377" spans="2:6" ht="17.149999999999999" customHeight="1" x14ac:dyDescent="0.35">
      <c r="D377" s="35" t="s">
        <v>1302</v>
      </c>
      <c r="E377" s="42">
        <f>SUM(E376+F376)</f>
        <v>274</v>
      </c>
      <c r="F377" s="29"/>
    </row>
    <row r="378" spans="2:6" ht="15" customHeight="1" x14ac:dyDescent="0.35"/>
    <row r="379" spans="2:6" ht="15" customHeight="1" x14ac:dyDescent="0.35">
      <c r="C379" s="22" t="s">
        <v>137</v>
      </c>
      <c r="D379" s="23" t="s">
        <v>138</v>
      </c>
    </row>
    <row r="380" spans="2:6" ht="15" customHeight="1" x14ac:dyDescent="0.35">
      <c r="C380" s="22" t="s">
        <v>139</v>
      </c>
      <c r="D380" s="23" t="s">
        <v>140</v>
      </c>
      <c r="E380" s="53" t="s">
        <v>1296</v>
      </c>
      <c r="F380" s="53"/>
    </row>
    <row r="381" spans="2:6" ht="15" customHeight="1" x14ac:dyDescent="0.35">
      <c r="C381" s="22" t="s">
        <v>141</v>
      </c>
      <c r="D381" s="23" t="s">
        <v>142</v>
      </c>
      <c r="E381" s="53"/>
      <c r="F381" s="53"/>
    </row>
    <row r="382" spans="2:6" ht="15" customHeight="1" x14ac:dyDescent="0.35">
      <c r="C382" s="22" t="s">
        <v>17</v>
      </c>
      <c r="D382" s="23" t="s">
        <v>143</v>
      </c>
      <c r="E382" s="23"/>
      <c r="F382" s="23"/>
    </row>
    <row r="383" spans="2:6" ht="15" customHeight="1" x14ac:dyDescent="0.35">
      <c r="C383" s="22" t="s">
        <v>1</v>
      </c>
      <c r="D383" s="30" t="s">
        <v>12</v>
      </c>
      <c r="E383" s="24"/>
      <c r="F383" s="24"/>
    </row>
    <row r="384" spans="2:6" ht="15" customHeight="1" x14ac:dyDescent="0.35">
      <c r="B384" s="25" t="s">
        <v>144</v>
      </c>
      <c r="C384" s="25" t="s">
        <v>145</v>
      </c>
      <c r="D384" s="25" t="s">
        <v>146</v>
      </c>
      <c r="E384" s="26" t="s">
        <v>1298</v>
      </c>
      <c r="F384" s="39">
        <v>2</v>
      </c>
    </row>
    <row r="385" spans="2:6" ht="15" customHeight="1" x14ac:dyDescent="0.35">
      <c r="B385" s="27">
        <v>1</v>
      </c>
      <c r="C385" s="27" t="s">
        <v>748</v>
      </c>
      <c r="D385" s="27" t="s">
        <v>749</v>
      </c>
      <c r="E385" s="33">
        <v>6</v>
      </c>
      <c r="F385" s="33">
        <v>2</v>
      </c>
    </row>
    <row r="386" spans="2:6" ht="15" customHeight="1" x14ac:dyDescent="0.35">
      <c r="B386" s="28">
        <v>2</v>
      </c>
      <c r="C386" s="28" t="s">
        <v>750</v>
      </c>
      <c r="D386" s="28" t="s">
        <v>751</v>
      </c>
      <c r="E386" s="33">
        <v>6</v>
      </c>
      <c r="F386" s="33">
        <v>2</v>
      </c>
    </row>
    <row r="387" spans="2:6" ht="15" customHeight="1" x14ac:dyDescent="0.35">
      <c r="B387" s="27">
        <v>3</v>
      </c>
      <c r="C387" s="27" t="s">
        <v>752</v>
      </c>
      <c r="D387" s="27" t="s">
        <v>753</v>
      </c>
      <c r="E387" s="33">
        <v>6</v>
      </c>
      <c r="F387" s="33">
        <v>2</v>
      </c>
    </row>
    <row r="388" spans="2:6" ht="15" customHeight="1" x14ac:dyDescent="0.35">
      <c r="B388" s="28">
        <v>4</v>
      </c>
      <c r="C388" s="28" t="s">
        <v>754</v>
      </c>
      <c r="D388" s="28" t="s">
        <v>755</v>
      </c>
      <c r="E388" s="33">
        <v>6</v>
      </c>
      <c r="F388" s="33">
        <v>2</v>
      </c>
    </row>
    <row r="389" spans="2:6" ht="15" customHeight="1" x14ac:dyDescent="0.35">
      <c r="B389" s="27">
        <v>5</v>
      </c>
      <c r="C389" s="27" t="s">
        <v>756</v>
      </c>
      <c r="D389" s="27" t="s">
        <v>757</v>
      </c>
      <c r="E389" s="33">
        <v>6</v>
      </c>
      <c r="F389" s="33">
        <v>2</v>
      </c>
    </row>
    <row r="390" spans="2:6" ht="15" customHeight="1" x14ac:dyDescent="0.35">
      <c r="B390" s="28">
        <v>6</v>
      </c>
      <c r="C390" s="28" t="s">
        <v>758</v>
      </c>
      <c r="D390" s="28" t="s">
        <v>759</v>
      </c>
      <c r="E390" s="33">
        <v>6</v>
      </c>
      <c r="F390" s="33">
        <v>2</v>
      </c>
    </row>
    <row r="391" spans="2:6" ht="15" customHeight="1" x14ac:dyDescent="0.35">
      <c r="B391" s="27">
        <v>7</v>
      </c>
      <c r="C391" s="27" t="s">
        <v>760</v>
      </c>
      <c r="D391" s="27" t="s">
        <v>761</v>
      </c>
      <c r="E391" s="33">
        <v>6</v>
      </c>
      <c r="F391" s="33">
        <v>2</v>
      </c>
    </row>
    <row r="392" spans="2:6" ht="15" customHeight="1" x14ac:dyDescent="0.35">
      <c r="B392" s="28">
        <v>8</v>
      </c>
      <c r="C392" s="28" t="s">
        <v>762</v>
      </c>
      <c r="D392" s="28" t="s">
        <v>763</v>
      </c>
      <c r="E392" s="33">
        <v>0</v>
      </c>
      <c r="F392" s="33">
        <v>2</v>
      </c>
    </row>
    <row r="393" spans="2:6" ht="15" customHeight="1" x14ac:dyDescent="0.35">
      <c r="B393" s="27">
        <v>9</v>
      </c>
      <c r="C393" s="27" t="s">
        <v>764</v>
      </c>
      <c r="D393" s="27" t="s">
        <v>765</v>
      </c>
      <c r="E393" s="33">
        <v>6</v>
      </c>
      <c r="F393" s="33">
        <v>2</v>
      </c>
    </row>
    <row r="394" spans="2:6" ht="15" customHeight="1" x14ac:dyDescent="0.35">
      <c r="B394" s="28">
        <v>10</v>
      </c>
      <c r="C394" s="28" t="s">
        <v>766</v>
      </c>
      <c r="D394" s="28" t="s">
        <v>767</v>
      </c>
      <c r="E394" s="33">
        <v>6</v>
      </c>
      <c r="F394" s="33">
        <v>2</v>
      </c>
    </row>
    <row r="395" spans="2:6" ht="15" customHeight="1" x14ac:dyDescent="0.35">
      <c r="B395" s="27">
        <v>11</v>
      </c>
      <c r="C395" s="27" t="s">
        <v>768</v>
      </c>
      <c r="D395" s="27" t="s">
        <v>769</v>
      </c>
      <c r="E395" s="33">
        <v>6</v>
      </c>
      <c r="F395" s="33">
        <v>2</v>
      </c>
    </row>
    <row r="396" spans="2:6" ht="15" customHeight="1" x14ac:dyDescent="0.35">
      <c r="B396" s="28">
        <v>12</v>
      </c>
      <c r="C396" s="28" t="s">
        <v>770</v>
      </c>
      <c r="D396" s="28" t="s">
        <v>771</v>
      </c>
      <c r="E396" s="33">
        <v>6</v>
      </c>
      <c r="F396" s="33">
        <v>2</v>
      </c>
    </row>
    <row r="397" spans="2:6" ht="15" customHeight="1" x14ac:dyDescent="0.35">
      <c r="B397" s="27">
        <v>13</v>
      </c>
      <c r="C397" s="27" t="s">
        <v>772</v>
      </c>
      <c r="D397" s="27" t="s">
        <v>773</v>
      </c>
      <c r="E397" s="33">
        <v>6</v>
      </c>
      <c r="F397" s="33">
        <v>2</v>
      </c>
    </row>
    <row r="398" spans="2:6" ht="15" customHeight="1" x14ac:dyDescent="0.35">
      <c r="B398" s="28">
        <v>14</v>
      </c>
      <c r="C398" s="28" t="s">
        <v>774</v>
      </c>
      <c r="D398" s="28" t="s">
        <v>775</v>
      </c>
      <c r="E398" s="33">
        <v>6</v>
      </c>
      <c r="F398" s="33">
        <v>2</v>
      </c>
    </row>
    <row r="399" spans="2:6" ht="15" customHeight="1" x14ac:dyDescent="0.35">
      <c r="B399" s="27">
        <v>15</v>
      </c>
      <c r="C399" s="27" t="s">
        <v>776</v>
      </c>
      <c r="D399" s="27" t="s">
        <v>777</v>
      </c>
      <c r="E399" s="33">
        <v>6</v>
      </c>
      <c r="F399" s="33">
        <v>2</v>
      </c>
    </row>
    <row r="400" spans="2:6" ht="15" customHeight="1" x14ac:dyDescent="0.35">
      <c r="B400" s="28">
        <v>16</v>
      </c>
      <c r="C400" s="28" t="s">
        <v>778</v>
      </c>
      <c r="D400" s="28" t="s">
        <v>779</v>
      </c>
      <c r="E400" s="33">
        <v>6</v>
      </c>
      <c r="F400" s="33">
        <v>2</v>
      </c>
    </row>
    <row r="401" spans="2:7" ht="15" customHeight="1" x14ac:dyDescent="0.35">
      <c r="B401" s="27">
        <v>17</v>
      </c>
      <c r="C401" s="27" t="s">
        <v>780</v>
      </c>
      <c r="D401" s="27" t="s">
        <v>781</v>
      </c>
      <c r="E401" s="33">
        <v>6</v>
      </c>
      <c r="F401" s="33">
        <v>2</v>
      </c>
    </row>
    <row r="402" spans="2:7" ht="15" customHeight="1" x14ac:dyDescent="0.35">
      <c r="B402" s="28">
        <v>18</v>
      </c>
      <c r="C402" s="28" t="s">
        <v>782</v>
      </c>
      <c r="D402" s="28" t="s">
        <v>783</v>
      </c>
      <c r="E402" s="33">
        <v>6</v>
      </c>
      <c r="F402" s="33">
        <v>2</v>
      </c>
    </row>
    <row r="403" spans="2:7" ht="15" customHeight="1" x14ac:dyDescent="0.35">
      <c r="B403" s="27">
        <v>19</v>
      </c>
      <c r="C403" s="27" t="s">
        <v>784</v>
      </c>
      <c r="D403" s="27" t="s">
        <v>785</v>
      </c>
      <c r="E403" s="33">
        <v>6</v>
      </c>
      <c r="F403" s="33">
        <v>2</v>
      </c>
    </row>
    <row r="404" spans="2:7" ht="15" customHeight="1" x14ac:dyDescent="0.35">
      <c r="B404" s="28">
        <v>20</v>
      </c>
      <c r="C404" s="28" t="s">
        <v>786</v>
      </c>
      <c r="D404" s="28" t="s">
        <v>787</v>
      </c>
      <c r="E404" s="33">
        <v>6</v>
      </c>
      <c r="F404" s="33">
        <v>2</v>
      </c>
    </row>
    <row r="405" spans="2:7" ht="15" customHeight="1" x14ac:dyDescent="0.35">
      <c r="B405" s="27">
        <v>21</v>
      </c>
      <c r="C405" s="27" t="s">
        <v>788</v>
      </c>
      <c r="D405" s="27" t="s">
        <v>789</v>
      </c>
      <c r="E405" s="33">
        <v>6</v>
      </c>
      <c r="F405" s="33">
        <v>2</v>
      </c>
    </row>
    <row r="406" spans="2:7" ht="15" customHeight="1" x14ac:dyDescent="0.35">
      <c r="B406" s="28">
        <v>22</v>
      </c>
      <c r="C406" s="28" t="s">
        <v>790</v>
      </c>
      <c r="D406" s="28" t="s">
        <v>791</v>
      </c>
      <c r="E406" s="33">
        <v>12</v>
      </c>
      <c r="F406" s="33">
        <v>2</v>
      </c>
      <c r="G406" s="38" t="s">
        <v>1301</v>
      </c>
    </row>
    <row r="407" spans="2:7" ht="15" customHeight="1" x14ac:dyDescent="0.35">
      <c r="B407" s="27">
        <v>23</v>
      </c>
      <c r="C407" s="27" t="s">
        <v>792</v>
      </c>
      <c r="D407" s="27" t="s">
        <v>793</v>
      </c>
      <c r="E407" s="33">
        <v>6</v>
      </c>
      <c r="F407" s="33">
        <v>2</v>
      </c>
    </row>
    <row r="408" spans="2:7" ht="15" customHeight="1" x14ac:dyDescent="0.35">
      <c r="B408" s="28">
        <v>24</v>
      </c>
      <c r="C408" s="28" t="s">
        <v>794</v>
      </c>
      <c r="D408" s="28" t="s">
        <v>795</v>
      </c>
      <c r="E408" s="33">
        <v>6</v>
      </c>
      <c r="F408" s="33">
        <v>2</v>
      </c>
    </row>
    <row r="409" spans="2:7" ht="15" customHeight="1" x14ac:dyDescent="0.35">
      <c r="B409" s="27">
        <v>25</v>
      </c>
      <c r="C409" s="27" t="s">
        <v>796</v>
      </c>
      <c r="D409" s="27" t="s">
        <v>797</v>
      </c>
      <c r="E409" s="33">
        <v>6</v>
      </c>
      <c r="F409" s="33">
        <v>2</v>
      </c>
    </row>
    <row r="410" spans="2:7" ht="15" customHeight="1" x14ac:dyDescent="0.35">
      <c r="B410" s="28">
        <v>26</v>
      </c>
      <c r="C410" s="28" t="s">
        <v>798</v>
      </c>
      <c r="D410" s="28" t="s">
        <v>799</v>
      </c>
      <c r="E410" s="33">
        <v>6</v>
      </c>
      <c r="F410" s="33">
        <v>2</v>
      </c>
    </row>
    <row r="411" spans="2:7" ht="15" customHeight="1" x14ac:dyDescent="0.35">
      <c r="B411" s="27">
        <v>27</v>
      </c>
      <c r="C411" s="27" t="s">
        <v>800</v>
      </c>
      <c r="D411" s="27" t="s">
        <v>801</v>
      </c>
      <c r="E411" s="33">
        <v>6</v>
      </c>
      <c r="F411" s="33">
        <v>2</v>
      </c>
    </row>
    <row r="412" spans="2:7" ht="15" customHeight="1" x14ac:dyDescent="0.35">
      <c r="B412" s="28">
        <v>28</v>
      </c>
      <c r="C412" s="28" t="s">
        <v>802</v>
      </c>
      <c r="D412" s="28" t="s">
        <v>803</v>
      </c>
      <c r="E412" s="33">
        <v>6</v>
      </c>
      <c r="F412" s="33">
        <v>2</v>
      </c>
    </row>
    <row r="413" spans="2:7" ht="15" customHeight="1" x14ac:dyDescent="0.35">
      <c r="B413" s="27">
        <v>29</v>
      </c>
      <c r="C413" s="27" t="s">
        <v>804</v>
      </c>
      <c r="D413" s="27" t="s">
        <v>805</v>
      </c>
      <c r="E413" s="33">
        <v>6</v>
      </c>
      <c r="F413" s="33">
        <v>2</v>
      </c>
    </row>
    <row r="414" spans="2:7" ht="15" customHeight="1" x14ac:dyDescent="0.35">
      <c r="B414" s="28">
        <v>30</v>
      </c>
      <c r="C414" s="28" t="s">
        <v>806</v>
      </c>
      <c r="D414" s="28" t="s">
        <v>807</v>
      </c>
      <c r="E414" s="33">
        <v>6</v>
      </c>
      <c r="F414" s="33">
        <v>2</v>
      </c>
    </row>
    <row r="415" spans="2:7" ht="15" customHeight="1" x14ac:dyDescent="0.35">
      <c r="B415" s="27">
        <v>31</v>
      </c>
      <c r="C415" s="27" t="s">
        <v>808</v>
      </c>
      <c r="D415" s="27" t="s">
        <v>809</v>
      </c>
      <c r="E415" s="33">
        <v>6</v>
      </c>
      <c r="F415" s="33">
        <v>2</v>
      </c>
    </row>
    <row r="416" spans="2:7" ht="15" customHeight="1" x14ac:dyDescent="0.35">
      <c r="B416" s="28">
        <v>32</v>
      </c>
      <c r="C416" s="28" t="s">
        <v>810</v>
      </c>
      <c r="D416" s="28" t="s">
        <v>811</v>
      </c>
      <c r="E416" s="33">
        <v>0</v>
      </c>
      <c r="F416" s="33">
        <v>2</v>
      </c>
    </row>
    <row r="417" spans="2:6" ht="15" customHeight="1" x14ac:dyDescent="0.35">
      <c r="B417" s="27">
        <v>33</v>
      </c>
      <c r="C417" s="27" t="s">
        <v>812</v>
      </c>
      <c r="D417" s="27" t="s">
        <v>813</v>
      </c>
      <c r="E417" s="33">
        <v>0</v>
      </c>
      <c r="F417" s="33">
        <v>2</v>
      </c>
    </row>
    <row r="418" spans="2:6" ht="15" customHeight="1" x14ac:dyDescent="0.35">
      <c r="B418" s="28">
        <v>34</v>
      </c>
      <c r="C418" s="28" t="s">
        <v>814</v>
      </c>
      <c r="D418" s="28" t="s">
        <v>815</v>
      </c>
      <c r="E418" s="33">
        <v>6</v>
      </c>
      <c r="F418" s="33">
        <v>2</v>
      </c>
    </row>
    <row r="419" spans="2:6" ht="15" customHeight="1" x14ac:dyDescent="0.35">
      <c r="B419" s="27">
        <v>35</v>
      </c>
      <c r="C419" s="27" t="s">
        <v>816</v>
      </c>
      <c r="D419" s="27" t="s">
        <v>817</v>
      </c>
      <c r="E419" s="33">
        <v>6</v>
      </c>
      <c r="F419" s="33">
        <v>2</v>
      </c>
    </row>
    <row r="420" spans="2:6" ht="15" customHeight="1" x14ac:dyDescent="0.35">
      <c r="B420" s="28">
        <v>36</v>
      </c>
      <c r="C420" s="28" t="s">
        <v>818</v>
      </c>
      <c r="D420" s="28" t="s">
        <v>819</v>
      </c>
      <c r="E420" s="33">
        <v>6</v>
      </c>
      <c r="F420" s="33">
        <v>2</v>
      </c>
    </row>
    <row r="421" spans="2:6" ht="15" customHeight="1" x14ac:dyDescent="0.35">
      <c r="B421" s="27">
        <v>37</v>
      </c>
      <c r="C421" s="27" t="s">
        <v>820</v>
      </c>
      <c r="D421" s="27" t="s">
        <v>821</v>
      </c>
      <c r="E421" s="33">
        <v>6</v>
      </c>
      <c r="F421" s="33">
        <v>2</v>
      </c>
    </row>
    <row r="422" spans="2:6" ht="15" customHeight="1" x14ac:dyDescent="0.35">
      <c r="B422" s="28">
        <v>38</v>
      </c>
      <c r="C422" s="28" t="s">
        <v>822</v>
      </c>
      <c r="D422" s="28" t="s">
        <v>823</v>
      </c>
      <c r="E422" s="33">
        <v>0</v>
      </c>
      <c r="F422" s="33">
        <v>2</v>
      </c>
    </row>
    <row r="423" spans="2:6" ht="15" customHeight="1" x14ac:dyDescent="0.35">
      <c r="B423" s="31"/>
      <c r="C423" s="31"/>
      <c r="D423" s="31"/>
      <c r="E423" s="41">
        <f>SUM(E385:E422)</f>
        <v>210</v>
      </c>
      <c r="F423" s="41">
        <f>SUM(F385:F422)</f>
        <v>76</v>
      </c>
    </row>
    <row r="424" spans="2:6" ht="17.149999999999999" customHeight="1" x14ac:dyDescent="0.35">
      <c r="D424" s="35" t="s">
        <v>1302</v>
      </c>
      <c r="E424" s="34">
        <f>SUM(E423+F423)</f>
        <v>286</v>
      </c>
      <c r="F424" s="29"/>
    </row>
    <row r="425" spans="2:6" ht="17.149999999999999" customHeight="1" x14ac:dyDescent="0.35">
      <c r="D425" s="29"/>
      <c r="E425" s="29"/>
      <c r="F425" s="29"/>
    </row>
    <row r="426" spans="2:6" ht="15" customHeight="1" x14ac:dyDescent="0.35"/>
    <row r="427" spans="2:6" ht="15" customHeight="1" x14ac:dyDescent="0.35">
      <c r="C427" s="22" t="s">
        <v>137</v>
      </c>
      <c r="D427" s="23" t="s">
        <v>138</v>
      </c>
    </row>
    <row r="428" spans="2:6" ht="15" customHeight="1" x14ac:dyDescent="0.35">
      <c r="C428" s="22" t="s">
        <v>139</v>
      </c>
      <c r="D428" s="23" t="s">
        <v>140</v>
      </c>
    </row>
    <row r="429" spans="2:6" ht="15" customHeight="1" x14ac:dyDescent="0.35">
      <c r="C429" s="22" t="s">
        <v>141</v>
      </c>
      <c r="D429" s="23" t="s">
        <v>142</v>
      </c>
      <c r="E429" s="53" t="s">
        <v>1296</v>
      </c>
      <c r="F429" s="53"/>
    </row>
    <row r="430" spans="2:6" ht="15" customHeight="1" x14ac:dyDescent="0.35">
      <c r="C430" s="22" t="s">
        <v>17</v>
      </c>
      <c r="D430" s="23" t="s">
        <v>143</v>
      </c>
      <c r="E430" s="53"/>
      <c r="F430" s="53"/>
    </row>
    <row r="431" spans="2:6" ht="15" customHeight="1" x14ac:dyDescent="0.35">
      <c r="C431" s="22" t="s">
        <v>1</v>
      </c>
      <c r="D431" s="30" t="s">
        <v>13</v>
      </c>
      <c r="E431" s="24"/>
      <c r="F431" s="24"/>
    </row>
    <row r="432" spans="2:6" ht="15" customHeight="1" x14ac:dyDescent="0.35">
      <c r="B432" s="25" t="s">
        <v>144</v>
      </c>
      <c r="C432" s="25" t="s">
        <v>145</v>
      </c>
      <c r="D432" s="25" t="s">
        <v>146</v>
      </c>
      <c r="E432" s="26" t="s">
        <v>1298</v>
      </c>
      <c r="F432" s="39">
        <v>2</v>
      </c>
    </row>
    <row r="433" spans="2:7" ht="15" customHeight="1" x14ac:dyDescent="0.35">
      <c r="B433" s="27">
        <v>1</v>
      </c>
      <c r="C433" s="27" t="s">
        <v>824</v>
      </c>
      <c r="D433" s="27" t="s">
        <v>825</v>
      </c>
      <c r="E433" s="33">
        <v>6</v>
      </c>
      <c r="F433" s="33">
        <v>2</v>
      </c>
    </row>
    <row r="434" spans="2:7" ht="15" customHeight="1" x14ac:dyDescent="0.35">
      <c r="B434" s="27">
        <v>2</v>
      </c>
      <c r="C434" s="28" t="s">
        <v>826</v>
      </c>
      <c r="D434" s="28" t="s">
        <v>827</v>
      </c>
      <c r="E434" s="36">
        <v>6</v>
      </c>
      <c r="F434" s="33">
        <v>2</v>
      </c>
    </row>
    <row r="435" spans="2:7" ht="15" customHeight="1" x14ac:dyDescent="0.35">
      <c r="B435" s="27">
        <v>3</v>
      </c>
      <c r="C435" s="28" t="s">
        <v>828</v>
      </c>
      <c r="D435" s="28" t="s">
        <v>829</v>
      </c>
      <c r="E435" s="36">
        <v>6</v>
      </c>
      <c r="F435" s="33">
        <v>2</v>
      </c>
    </row>
    <row r="436" spans="2:7" ht="15" customHeight="1" x14ac:dyDescent="0.35">
      <c r="B436" s="27">
        <v>4</v>
      </c>
      <c r="C436" s="27" t="s">
        <v>830</v>
      </c>
      <c r="D436" s="27" t="s">
        <v>831</v>
      </c>
      <c r="E436" s="33">
        <v>6</v>
      </c>
      <c r="F436" s="33">
        <v>2</v>
      </c>
    </row>
    <row r="437" spans="2:7" ht="15" customHeight="1" x14ac:dyDescent="0.35">
      <c r="B437" s="27">
        <v>5</v>
      </c>
      <c r="C437" s="28" t="s">
        <v>832</v>
      </c>
      <c r="D437" s="28" t="s">
        <v>833</v>
      </c>
      <c r="E437" s="36">
        <v>6</v>
      </c>
      <c r="F437" s="33">
        <v>2</v>
      </c>
    </row>
    <row r="438" spans="2:7" ht="15" customHeight="1" x14ac:dyDescent="0.35">
      <c r="B438" s="27">
        <v>6</v>
      </c>
      <c r="C438" s="27" t="s">
        <v>834</v>
      </c>
      <c r="D438" s="27" t="s">
        <v>835</v>
      </c>
      <c r="E438" s="33">
        <v>6</v>
      </c>
      <c r="F438" s="33">
        <v>2</v>
      </c>
    </row>
    <row r="439" spans="2:7" ht="15" customHeight="1" x14ac:dyDescent="0.35">
      <c r="B439" s="27">
        <v>7</v>
      </c>
      <c r="C439" s="28" t="s">
        <v>836</v>
      </c>
      <c r="D439" s="28" t="s">
        <v>837</v>
      </c>
      <c r="E439" s="36">
        <v>6</v>
      </c>
      <c r="F439" s="33">
        <v>2</v>
      </c>
    </row>
    <row r="440" spans="2:7" ht="15" customHeight="1" x14ac:dyDescent="0.35">
      <c r="B440" s="27">
        <v>8</v>
      </c>
      <c r="C440" s="27" t="s">
        <v>838</v>
      </c>
      <c r="D440" s="27" t="s">
        <v>839</v>
      </c>
      <c r="E440" s="33">
        <v>6</v>
      </c>
      <c r="F440" s="33">
        <v>2</v>
      </c>
    </row>
    <row r="441" spans="2:7" ht="15" customHeight="1" x14ac:dyDescent="0.35">
      <c r="B441" s="27">
        <v>9</v>
      </c>
      <c r="C441" s="28" t="s">
        <v>840</v>
      </c>
      <c r="D441" s="28" t="s">
        <v>841</v>
      </c>
      <c r="E441" s="36">
        <v>6</v>
      </c>
      <c r="F441" s="33">
        <v>2</v>
      </c>
    </row>
    <row r="442" spans="2:7" ht="15" customHeight="1" x14ac:dyDescent="0.35">
      <c r="B442" s="27">
        <v>10</v>
      </c>
      <c r="C442" s="27" t="s">
        <v>842</v>
      </c>
      <c r="D442" s="27" t="s">
        <v>843</v>
      </c>
      <c r="E442" s="33">
        <v>6</v>
      </c>
      <c r="F442" s="33">
        <v>2</v>
      </c>
    </row>
    <row r="443" spans="2:7" ht="15" customHeight="1" x14ac:dyDescent="0.35">
      <c r="B443" s="27">
        <v>11</v>
      </c>
      <c r="C443" s="28" t="s">
        <v>844</v>
      </c>
      <c r="D443" s="28" t="s">
        <v>845</v>
      </c>
      <c r="E443" s="36">
        <v>6</v>
      </c>
      <c r="F443" s="33">
        <v>2</v>
      </c>
    </row>
    <row r="444" spans="2:7" ht="15" customHeight="1" x14ac:dyDescent="0.35">
      <c r="B444" s="27">
        <v>12</v>
      </c>
      <c r="C444" s="27" t="s">
        <v>846</v>
      </c>
      <c r="D444" s="27" t="s">
        <v>847</v>
      </c>
      <c r="E444" s="33">
        <v>6</v>
      </c>
      <c r="F444" s="33">
        <v>2</v>
      </c>
    </row>
    <row r="445" spans="2:7" ht="15" customHeight="1" x14ac:dyDescent="0.35">
      <c r="B445" s="27">
        <v>13</v>
      </c>
      <c r="C445" s="28" t="s">
        <v>848</v>
      </c>
      <c r="D445" s="28" t="s">
        <v>849</v>
      </c>
      <c r="E445" s="36">
        <v>6</v>
      </c>
      <c r="F445" s="33">
        <v>2</v>
      </c>
    </row>
    <row r="446" spans="2:7" ht="15" customHeight="1" x14ac:dyDescent="0.35">
      <c r="B446" s="27">
        <v>14</v>
      </c>
      <c r="C446" s="27" t="s">
        <v>850</v>
      </c>
      <c r="D446" s="27" t="s">
        <v>851</v>
      </c>
      <c r="E446" s="33">
        <v>6</v>
      </c>
      <c r="F446" s="33">
        <v>2</v>
      </c>
    </row>
    <row r="447" spans="2:7" ht="15" customHeight="1" x14ac:dyDescent="0.35">
      <c r="B447" s="27">
        <v>15</v>
      </c>
      <c r="C447" s="28" t="s">
        <v>852</v>
      </c>
      <c r="D447" s="28" t="s">
        <v>853</v>
      </c>
      <c r="E447" s="36">
        <v>6</v>
      </c>
      <c r="F447" s="33">
        <v>2</v>
      </c>
      <c r="G447" s="38"/>
    </row>
    <row r="448" spans="2:7" ht="15" customHeight="1" x14ac:dyDescent="0.35">
      <c r="B448" s="27">
        <v>16</v>
      </c>
      <c r="C448" s="27" t="s">
        <v>854</v>
      </c>
      <c r="D448" s="27" t="s">
        <v>855</v>
      </c>
      <c r="E448" s="33">
        <v>6</v>
      </c>
      <c r="F448" s="33">
        <v>2</v>
      </c>
      <c r="G448" s="38"/>
    </row>
    <row r="449" spans="2:7" ht="15" customHeight="1" x14ac:dyDescent="0.35">
      <c r="B449" s="27">
        <v>17</v>
      </c>
      <c r="C449" s="28" t="s">
        <v>856</v>
      </c>
      <c r="D449" s="28" t="s">
        <v>37</v>
      </c>
      <c r="E449" s="36">
        <v>6</v>
      </c>
      <c r="F449" s="33">
        <v>2</v>
      </c>
    </row>
    <row r="450" spans="2:7" ht="15" customHeight="1" x14ac:dyDescent="0.35">
      <c r="B450" s="27">
        <v>18</v>
      </c>
      <c r="C450" s="27" t="s">
        <v>857</v>
      </c>
      <c r="D450" s="27" t="s">
        <v>858</v>
      </c>
      <c r="E450" s="33">
        <v>6</v>
      </c>
      <c r="F450" s="33">
        <v>2</v>
      </c>
    </row>
    <row r="451" spans="2:7" ht="15" customHeight="1" x14ac:dyDescent="0.35">
      <c r="B451" s="27">
        <v>19</v>
      </c>
      <c r="C451" s="28" t="s">
        <v>859</v>
      </c>
      <c r="D451" s="28" t="s">
        <v>860</v>
      </c>
      <c r="E451" s="36"/>
      <c r="F451" s="33">
        <v>2</v>
      </c>
    </row>
    <row r="452" spans="2:7" ht="15" customHeight="1" x14ac:dyDescent="0.35">
      <c r="B452" s="27">
        <v>20</v>
      </c>
      <c r="C452" s="27" t="s">
        <v>861</v>
      </c>
      <c r="D452" s="27" t="s">
        <v>862</v>
      </c>
      <c r="E452" s="33">
        <v>6</v>
      </c>
      <c r="F452" s="33">
        <v>2</v>
      </c>
    </row>
    <row r="453" spans="2:7" ht="15" customHeight="1" x14ac:dyDescent="0.35">
      <c r="B453" s="27">
        <v>21</v>
      </c>
      <c r="C453" s="28" t="s">
        <v>863</v>
      </c>
      <c r="D453" s="28" t="s">
        <v>864</v>
      </c>
      <c r="E453" s="36">
        <v>6</v>
      </c>
      <c r="F453" s="33">
        <v>2</v>
      </c>
    </row>
    <row r="454" spans="2:7" ht="15" customHeight="1" x14ac:dyDescent="0.35">
      <c r="B454" s="27">
        <v>22</v>
      </c>
      <c r="C454" s="27" t="s">
        <v>865</v>
      </c>
      <c r="D454" s="27" t="s">
        <v>866</v>
      </c>
      <c r="E454" s="33">
        <v>18</v>
      </c>
      <c r="F454" s="33">
        <v>2</v>
      </c>
      <c r="G454" s="38" t="s">
        <v>1312</v>
      </c>
    </row>
    <row r="455" spans="2:7" ht="15" customHeight="1" x14ac:dyDescent="0.35">
      <c r="B455" s="27">
        <v>23</v>
      </c>
      <c r="C455" s="28" t="s">
        <v>867</v>
      </c>
      <c r="D455" s="28" t="s">
        <v>868</v>
      </c>
      <c r="E455" s="36">
        <v>6</v>
      </c>
      <c r="F455" s="33">
        <v>2</v>
      </c>
    </row>
    <row r="456" spans="2:7" ht="15" customHeight="1" x14ac:dyDescent="0.35">
      <c r="B456" s="27">
        <v>24</v>
      </c>
      <c r="C456" s="27" t="s">
        <v>869</v>
      </c>
      <c r="D456" s="27" t="s">
        <v>870</v>
      </c>
      <c r="E456" s="33">
        <v>6</v>
      </c>
      <c r="F456" s="33">
        <v>2</v>
      </c>
    </row>
    <row r="457" spans="2:7" ht="15" customHeight="1" x14ac:dyDescent="0.35">
      <c r="B457" s="27">
        <v>25</v>
      </c>
      <c r="C457" s="28" t="s">
        <v>871</v>
      </c>
      <c r="D457" s="28" t="s">
        <v>39</v>
      </c>
      <c r="E457" s="36">
        <v>6</v>
      </c>
      <c r="F457" s="33">
        <v>2</v>
      </c>
    </row>
    <row r="458" spans="2:7" ht="15" customHeight="1" x14ac:dyDescent="0.35">
      <c r="B458" s="27">
        <v>26</v>
      </c>
      <c r="C458" s="27" t="s">
        <v>872</v>
      </c>
      <c r="D458" s="27" t="s">
        <v>873</v>
      </c>
      <c r="E458" s="33">
        <v>6</v>
      </c>
      <c r="F458" s="33">
        <v>2</v>
      </c>
    </row>
    <row r="459" spans="2:7" ht="15" customHeight="1" x14ac:dyDescent="0.35">
      <c r="B459" s="27">
        <v>27</v>
      </c>
      <c r="C459" s="28" t="s">
        <v>874</v>
      </c>
      <c r="D459" s="28" t="s">
        <v>875</v>
      </c>
      <c r="E459" s="36">
        <v>6</v>
      </c>
      <c r="F459" s="33">
        <v>2</v>
      </c>
    </row>
    <row r="460" spans="2:7" ht="15" customHeight="1" x14ac:dyDescent="0.35">
      <c r="B460" s="27">
        <v>28</v>
      </c>
      <c r="C460" s="28" t="s">
        <v>876</v>
      </c>
      <c r="D460" s="28" t="s">
        <v>877</v>
      </c>
      <c r="E460" s="36">
        <v>6</v>
      </c>
      <c r="F460" s="33">
        <v>2</v>
      </c>
    </row>
    <row r="461" spans="2:7" ht="15" customHeight="1" x14ac:dyDescent="0.35">
      <c r="B461" s="27">
        <v>29</v>
      </c>
      <c r="C461" s="27" t="s">
        <v>878</v>
      </c>
      <c r="D461" s="27" t="s">
        <v>41</v>
      </c>
      <c r="E461" s="33">
        <v>6</v>
      </c>
      <c r="F461" s="33">
        <v>2</v>
      </c>
    </row>
    <row r="462" spans="2:7" ht="15" customHeight="1" x14ac:dyDescent="0.35">
      <c r="B462" s="27">
        <v>30</v>
      </c>
      <c r="C462" s="28" t="s">
        <v>879</v>
      </c>
      <c r="D462" s="28" t="s">
        <v>880</v>
      </c>
      <c r="E462" s="36">
        <v>6</v>
      </c>
      <c r="F462" s="33">
        <v>2</v>
      </c>
    </row>
    <row r="463" spans="2:7" ht="15" customHeight="1" x14ac:dyDescent="0.35">
      <c r="B463" s="27">
        <v>31</v>
      </c>
      <c r="C463" s="27" t="s">
        <v>881</v>
      </c>
      <c r="D463" s="27" t="s">
        <v>33</v>
      </c>
      <c r="E463" s="33">
        <v>6</v>
      </c>
      <c r="F463" s="33">
        <v>2</v>
      </c>
    </row>
    <row r="464" spans="2:7" ht="15" customHeight="1" x14ac:dyDescent="0.35">
      <c r="E464" s="1">
        <f>SUM(E433:E463)</f>
        <v>192</v>
      </c>
      <c r="F464" s="8">
        <f>SUM(F433:F463)</f>
        <v>62</v>
      </c>
    </row>
    <row r="465" spans="2:6" ht="17.149999999999999" customHeight="1" x14ac:dyDescent="0.35">
      <c r="D465" s="35" t="s">
        <v>1302</v>
      </c>
      <c r="E465" s="42">
        <f>SUM(E464)+F464</f>
        <v>254</v>
      </c>
      <c r="F465" s="29"/>
    </row>
    <row r="466" spans="2:6" ht="17.149999999999999" customHeight="1" x14ac:dyDescent="0.35">
      <c r="D466" s="29"/>
      <c r="E466" s="29"/>
      <c r="F466" s="29"/>
    </row>
    <row r="467" spans="2:6" ht="15" customHeight="1" x14ac:dyDescent="0.35"/>
    <row r="468" spans="2:6" ht="15" customHeight="1" x14ac:dyDescent="0.35">
      <c r="C468" s="22" t="s">
        <v>137</v>
      </c>
      <c r="D468" s="23" t="s">
        <v>138</v>
      </c>
    </row>
    <row r="469" spans="2:6" ht="15" customHeight="1" x14ac:dyDescent="0.35">
      <c r="C469" s="22" t="s">
        <v>139</v>
      </c>
      <c r="D469" s="23" t="s">
        <v>140</v>
      </c>
    </row>
    <row r="470" spans="2:6" ht="15" customHeight="1" x14ac:dyDescent="0.35">
      <c r="C470" s="22" t="s">
        <v>141</v>
      </c>
      <c r="D470" s="23" t="s">
        <v>142</v>
      </c>
      <c r="E470" s="53" t="s">
        <v>1296</v>
      </c>
      <c r="F470" s="53"/>
    </row>
    <row r="471" spans="2:6" ht="15" customHeight="1" x14ac:dyDescent="0.35">
      <c r="C471" s="22" t="s">
        <v>17</v>
      </c>
      <c r="D471" s="23" t="s">
        <v>143</v>
      </c>
      <c r="E471" s="53"/>
      <c r="F471" s="53"/>
    </row>
    <row r="472" spans="2:6" ht="15" customHeight="1" x14ac:dyDescent="0.35">
      <c r="C472" s="22" t="s">
        <v>1</v>
      </c>
      <c r="D472" s="30" t="s">
        <v>14</v>
      </c>
      <c r="E472" s="24"/>
      <c r="F472" s="24"/>
    </row>
    <row r="473" spans="2:6" ht="15" customHeight="1" x14ac:dyDescent="0.35">
      <c r="B473" s="25" t="s">
        <v>144</v>
      </c>
      <c r="C473" s="25" t="s">
        <v>145</v>
      </c>
      <c r="D473" s="25" t="s">
        <v>146</v>
      </c>
      <c r="E473" s="26" t="s">
        <v>1306</v>
      </c>
      <c r="F473" s="39">
        <v>2</v>
      </c>
    </row>
    <row r="474" spans="2:6" ht="15" customHeight="1" x14ac:dyDescent="0.35">
      <c r="B474" s="27">
        <v>1</v>
      </c>
      <c r="C474" s="27" t="s">
        <v>882</v>
      </c>
      <c r="D474" s="27" t="s">
        <v>883</v>
      </c>
      <c r="E474" s="33">
        <v>6</v>
      </c>
      <c r="F474" s="33">
        <v>2</v>
      </c>
    </row>
    <row r="475" spans="2:6" ht="15" customHeight="1" x14ac:dyDescent="0.35">
      <c r="B475" s="27">
        <v>2</v>
      </c>
      <c r="C475" s="28" t="s">
        <v>884</v>
      </c>
      <c r="D475" s="28" t="s">
        <v>885</v>
      </c>
      <c r="E475" s="33">
        <v>6</v>
      </c>
      <c r="F475" s="33">
        <v>2</v>
      </c>
    </row>
    <row r="476" spans="2:6" ht="15" customHeight="1" x14ac:dyDescent="0.35">
      <c r="B476" s="27">
        <v>3</v>
      </c>
      <c r="C476" s="27" t="s">
        <v>886</v>
      </c>
      <c r="D476" s="27" t="s">
        <v>887</v>
      </c>
      <c r="E476" s="33">
        <v>6</v>
      </c>
      <c r="F476" s="33">
        <v>2</v>
      </c>
    </row>
    <row r="477" spans="2:6" ht="15" customHeight="1" x14ac:dyDescent="0.35">
      <c r="B477" s="27">
        <v>4</v>
      </c>
      <c r="C477" s="28" t="s">
        <v>888</v>
      </c>
      <c r="D477" s="28" t="s">
        <v>889</v>
      </c>
      <c r="E477" s="33">
        <v>6</v>
      </c>
      <c r="F477" s="33">
        <v>2</v>
      </c>
    </row>
    <row r="478" spans="2:6" ht="15" customHeight="1" x14ac:dyDescent="0.35">
      <c r="B478" s="27">
        <v>5</v>
      </c>
      <c r="C478" s="27" t="s">
        <v>890</v>
      </c>
      <c r="D478" s="27" t="s">
        <v>891</v>
      </c>
      <c r="E478" s="33">
        <v>6</v>
      </c>
      <c r="F478" s="33">
        <v>2</v>
      </c>
    </row>
    <row r="479" spans="2:6" ht="15" customHeight="1" x14ac:dyDescent="0.35">
      <c r="B479" s="27">
        <v>6</v>
      </c>
      <c r="C479" s="28" t="s">
        <v>892</v>
      </c>
      <c r="D479" s="28" t="s">
        <v>893</v>
      </c>
      <c r="E479" s="33">
        <v>6</v>
      </c>
      <c r="F479" s="33">
        <v>2</v>
      </c>
    </row>
    <row r="480" spans="2:6" ht="15" customHeight="1" x14ac:dyDescent="0.35">
      <c r="B480" s="27">
        <v>7</v>
      </c>
      <c r="C480" s="27" t="s">
        <v>894</v>
      </c>
      <c r="D480" s="27" t="s">
        <v>895</v>
      </c>
      <c r="E480" s="33">
        <v>6</v>
      </c>
      <c r="F480" s="33">
        <v>2</v>
      </c>
    </row>
    <row r="481" spans="2:6" ht="15" customHeight="1" x14ac:dyDescent="0.35">
      <c r="B481" s="27">
        <v>8</v>
      </c>
      <c r="C481" s="28" t="s">
        <v>896</v>
      </c>
      <c r="D481" s="28" t="s">
        <v>897</v>
      </c>
      <c r="E481" s="33">
        <v>6</v>
      </c>
      <c r="F481" s="33">
        <v>2</v>
      </c>
    </row>
    <row r="482" spans="2:6" ht="15" customHeight="1" x14ac:dyDescent="0.35">
      <c r="B482" s="27">
        <v>9</v>
      </c>
      <c r="C482" s="27" t="s">
        <v>898</v>
      </c>
      <c r="D482" s="27" t="s">
        <v>899</v>
      </c>
      <c r="E482" s="33">
        <v>6</v>
      </c>
      <c r="F482" s="33">
        <v>2</v>
      </c>
    </row>
    <row r="483" spans="2:6" ht="15" customHeight="1" x14ac:dyDescent="0.35">
      <c r="B483" s="27">
        <v>10</v>
      </c>
      <c r="C483" s="28" t="s">
        <v>900</v>
      </c>
      <c r="D483" s="28" t="s">
        <v>901</v>
      </c>
      <c r="E483" s="33">
        <v>6</v>
      </c>
      <c r="F483" s="33">
        <v>2</v>
      </c>
    </row>
    <row r="484" spans="2:6" ht="15" customHeight="1" x14ac:dyDescent="0.35">
      <c r="B484" s="27">
        <v>11</v>
      </c>
      <c r="C484" s="27" t="s">
        <v>902</v>
      </c>
      <c r="D484" s="27" t="s">
        <v>903</v>
      </c>
      <c r="E484" s="33">
        <v>6</v>
      </c>
      <c r="F484" s="33">
        <v>2</v>
      </c>
    </row>
    <row r="485" spans="2:6" ht="15" customHeight="1" x14ac:dyDescent="0.35">
      <c r="B485" s="27">
        <v>12</v>
      </c>
      <c r="C485" s="28" t="s">
        <v>904</v>
      </c>
      <c r="D485" s="28" t="s">
        <v>905</v>
      </c>
      <c r="E485" s="33">
        <v>6</v>
      </c>
      <c r="F485" s="33">
        <v>2</v>
      </c>
    </row>
    <row r="486" spans="2:6" ht="15" customHeight="1" x14ac:dyDescent="0.35">
      <c r="B486" s="27">
        <v>13</v>
      </c>
      <c r="C486" s="27" t="s">
        <v>906</v>
      </c>
      <c r="D486" s="27" t="s">
        <v>907</v>
      </c>
      <c r="E486" s="33">
        <v>6</v>
      </c>
      <c r="F486" s="33">
        <v>2</v>
      </c>
    </row>
    <row r="487" spans="2:6" ht="15" customHeight="1" x14ac:dyDescent="0.35">
      <c r="B487" s="27">
        <v>14</v>
      </c>
      <c r="C487" s="28" t="s">
        <v>908</v>
      </c>
      <c r="D487" s="28" t="s">
        <v>909</v>
      </c>
      <c r="E487" s="33">
        <v>6</v>
      </c>
      <c r="F487" s="33">
        <v>2</v>
      </c>
    </row>
    <row r="488" spans="2:6" ht="15" customHeight="1" x14ac:dyDescent="0.35">
      <c r="B488" s="27">
        <v>15</v>
      </c>
      <c r="C488" s="27" t="s">
        <v>910</v>
      </c>
      <c r="D488" s="27" t="s">
        <v>911</v>
      </c>
      <c r="E488" s="33">
        <v>6</v>
      </c>
      <c r="F488" s="33">
        <v>2</v>
      </c>
    </row>
    <row r="489" spans="2:6" ht="15" customHeight="1" x14ac:dyDescent="0.35">
      <c r="B489" s="27">
        <v>16</v>
      </c>
      <c r="C489" s="28" t="s">
        <v>912</v>
      </c>
      <c r="D489" s="28" t="s">
        <v>913</v>
      </c>
      <c r="E489" s="33">
        <v>6</v>
      </c>
      <c r="F489" s="33">
        <v>2</v>
      </c>
    </row>
    <row r="490" spans="2:6" ht="15" customHeight="1" x14ac:dyDescent="0.35">
      <c r="B490" s="27">
        <v>17</v>
      </c>
      <c r="C490" s="27" t="s">
        <v>914</v>
      </c>
      <c r="D490" s="27" t="s">
        <v>915</v>
      </c>
      <c r="E490" s="33">
        <v>6</v>
      </c>
      <c r="F490" s="33">
        <v>2</v>
      </c>
    </row>
    <row r="491" spans="2:6" ht="15" customHeight="1" x14ac:dyDescent="0.35">
      <c r="B491" s="27">
        <v>18</v>
      </c>
      <c r="C491" s="28" t="s">
        <v>916</v>
      </c>
      <c r="D491" s="28" t="s">
        <v>917</v>
      </c>
      <c r="E491" s="33">
        <v>6</v>
      </c>
      <c r="F491" s="33">
        <v>2</v>
      </c>
    </row>
    <row r="492" spans="2:6" ht="15" customHeight="1" x14ac:dyDescent="0.35">
      <c r="B492" s="27">
        <v>19</v>
      </c>
      <c r="C492" s="27" t="s">
        <v>918</v>
      </c>
      <c r="D492" s="27" t="s">
        <v>919</v>
      </c>
      <c r="E492" s="33">
        <v>6</v>
      </c>
      <c r="F492" s="33">
        <v>2</v>
      </c>
    </row>
    <row r="493" spans="2:6" ht="15" customHeight="1" x14ac:dyDescent="0.35">
      <c r="B493" s="27">
        <v>20</v>
      </c>
      <c r="C493" s="28" t="s">
        <v>920</v>
      </c>
      <c r="D493" s="28" t="s">
        <v>921</v>
      </c>
      <c r="E493" s="33">
        <v>6</v>
      </c>
      <c r="F493" s="33">
        <v>2</v>
      </c>
    </row>
    <row r="494" spans="2:6" ht="15" customHeight="1" x14ac:dyDescent="0.35">
      <c r="B494" s="27">
        <v>21</v>
      </c>
      <c r="C494" s="28" t="s">
        <v>922</v>
      </c>
      <c r="D494" s="28" t="s">
        <v>923</v>
      </c>
      <c r="E494" s="33">
        <v>6</v>
      </c>
      <c r="F494" s="33">
        <v>2</v>
      </c>
    </row>
    <row r="495" spans="2:6" ht="15" customHeight="1" x14ac:dyDescent="0.35">
      <c r="B495" s="27">
        <v>22</v>
      </c>
      <c r="C495" s="27" t="s">
        <v>924</v>
      </c>
      <c r="D495" s="27" t="s">
        <v>925</v>
      </c>
      <c r="E495" s="33">
        <v>6</v>
      </c>
      <c r="F495" s="33">
        <v>2</v>
      </c>
    </row>
    <row r="496" spans="2:6" ht="15" customHeight="1" x14ac:dyDescent="0.35">
      <c r="B496" s="27">
        <v>23</v>
      </c>
      <c r="C496" s="28" t="s">
        <v>926</v>
      </c>
      <c r="D496" s="28" t="s">
        <v>927</v>
      </c>
      <c r="E496" s="33">
        <v>6</v>
      </c>
      <c r="F496" s="33">
        <v>2</v>
      </c>
    </row>
    <row r="497" spans="2:6" ht="15" customHeight="1" x14ac:dyDescent="0.35">
      <c r="B497" s="27">
        <v>24</v>
      </c>
      <c r="C497" s="27" t="s">
        <v>928</v>
      </c>
      <c r="D497" s="27" t="s">
        <v>929</v>
      </c>
      <c r="E497" s="33">
        <v>6</v>
      </c>
      <c r="F497" s="33">
        <v>2</v>
      </c>
    </row>
    <row r="498" spans="2:6" ht="15" customHeight="1" x14ac:dyDescent="0.35">
      <c r="B498" s="27">
        <v>25</v>
      </c>
      <c r="C498" s="28" t="s">
        <v>930</v>
      </c>
      <c r="D498" s="28" t="s">
        <v>931</v>
      </c>
      <c r="E498" s="33">
        <v>6</v>
      </c>
      <c r="F498" s="33">
        <v>2</v>
      </c>
    </row>
    <row r="499" spans="2:6" ht="15" customHeight="1" x14ac:dyDescent="0.35">
      <c r="B499" s="27">
        <v>26</v>
      </c>
      <c r="C499" s="27" t="s">
        <v>932</v>
      </c>
      <c r="D499" s="27" t="s">
        <v>933</v>
      </c>
      <c r="E499" s="33">
        <v>6</v>
      </c>
      <c r="F499" s="33">
        <v>2</v>
      </c>
    </row>
    <row r="500" spans="2:6" ht="15" customHeight="1" x14ac:dyDescent="0.35">
      <c r="B500" s="27">
        <v>27</v>
      </c>
      <c r="C500" s="28" t="s">
        <v>934</v>
      </c>
      <c r="D500" s="28" t="s">
        <v>935</v>
      </c>
      <c r="E500" s="33">
        <v>6</v>
      </c>
      <c r="F500" s="33">
        <v>2</v>
      </c>
    </row>
    <row r="501" spans="2:6" ht="15" customHeight="1" x14ac:dyDescent="0.35">
      <c r="B501" s="27">
        <v>28</v>
      </c>
      <c r="C501" s="27" t="s">
        <v>936</v>
      </c>
      <c r="D501" s="27" t="s">
        <v>937</v>
      </c>
      <c r="E501" s="33">
        <v>6</v>
      </c>
      <c r="F501" s="33">
        <v>2</v>
      </c>
    </row>
    <row r="502" spans="2:6" ht="15" customHeight="1" x14ac:dyDescent="0.35">
      <c r="B502" s="27">
        <v>29</v>
      </c>
      <c r="C502" s="27" t="s">
        <v>938</v>
      </c>
      <c r="D502" s="27" t="s">
        <v>939</v>
      </c>
      <c r="E502" s="33">
        <v>6</v>
      </c>
      <c r="F502" s="33">
        <v>2</v>
      </c>
    </row>
    <row r="503" spans="2:6" ht="15" customHeight="1" x14ac:dyDescent="0.35">
      <c r="B503" s="27">
        <v>30</v>
      </c>
      <c r="C503" s="28" t="s">
        <v>940</v>
      </c>
      <c r="D503" s="28" t="s">
        <v>941</v>
      </c>
      <c r="E503" s="33">
        <v>6</v>
      </c>
      <c r="F503" s="33">
        <v>2</v>
      </c>
    </row>
    <row r="504" spans="2:6" ht="15" customHeight="1" x14ac:dyDescent="0.35">
      <c r="E504" s="8">
        <f>SUM(E474:E503)</f>
        <v>180</v>
      </c>
      <c r="F504" s="8">
        <f>SUM(F474:F503)</f>
        <v>60</v>
      </c>
    </row>
    <row r="505" spans="2:6" ht="17.149999999999999" customHeight="1" x14ac:dyDescent="0.35">
      <c r="D505" s="35" t="s">
        <v>213</v>
      </c>
      <c r="E505" s="34">
        <f>SUM(E504+F504)</f>
        <v>240</v>
      </c>
      <c r="F505" s="29"/>
    </row>
    <row r="506" spans="2:6" ht="17.149999999999999" customHeight="1" x14ac:dyDescent="0.35">
      <c r="D506" s="29"/>
      <c r="E506" s="29"/>
      <c r="F506" s="29"/>
    </row>
    <row r="507" spans="2:6" ht="15" customHeight="1" x14ac:dyDescent="0.35"/>
    <row r="508" spans="2:6" ht="15" customHeight="1" x14ac:dyDescent="0.35">
      <c r="C508" s="22" t="s">
        <v>137</v>
      </c>
      <c r="D508" s="23" t="s">
        <v>138</v>
      </c>
    </row>
    <row r="509" spans="2:6" ht="15" customHeight="1" x14ac:dyDescent="0.35">
      <c r="C509" s="22" t="s">
        <v>139</v>
      </c>
      <c r="D509" s="23" t="s">
        <v>140</v>
      </c>
      <c r="E509" s="53" t="s">
        <v>1296</v>
      </c>
      <c r="F509" s="53"/>
    </row>
    <row r="510" spans="2:6" ht="15" customHeight="1" x14ac:dyDescent="0.35">
      <c r="C510" s="22" t="s">
        <v>141</v>
      </c>
      <c r="D510" s="23" t="s">
        <v>142</v>
      </c>
      <c r="E510" s="53"/>
      <c r="F510" s="53"/>
    </row>
    <row r="511" spans="2:6" ht="15" customHeight="1" x14ac:dyDescent="0.35">
      <c r="C511" s="22" t="s">
        <v>17</v>
      </c>
      <c r="D511" s="23" t="s">
        <v>143</v>
      </c>
      <c r="E511" s="23"/>
      <c r="F511" s="23"/>
    </row>
    <row r="512" spans="2:6" ht="15" customHeight="1" x14ac:dyDescent="0.35">
      <c r="C512" s="22" t="s">
        <v>1</v>
      </c>
      <c r="D512" s="30" t="s">
        <v>128</v>
      </c>
      <c r="E512" s="24"/>
      <c r="F512" s="24"/>
    </row>
    <row r="513" spans="2:6" ht="15" customHeight="1" x14ac:dyDescent="0.35">
      <c r="B513" s="25" t="s">
        <v>144</v>
      </c>
      <c r="C513" s="25" t="s">
        <v>145</v>
      </c>
      <c r="D513" s="25" t="s">
        <v>146</v>
      </c>
      <c r="E513" s="26" t="s">
        <v>1298</v>
      </c>
      <c r="F513" s="39">
        <v>2</v>
      </c>
    </row>
    <row r="514" spans="2:6" ht="15" customHeight="1" x14ac:dyDescent="0.35">
      <c r="B514" s="27">
        <v>1</v>
      </c>
      <c r="C514" s="27" t="s">
        <v>942</v>
      </c>
      <c r="D514" s="27" t="s">
        <v>943</v>
      </c>
      <c r="E514" s="33">
        <v>6</v>
      </c>
      <c r="F514" s="33">
        <v>2</v>
      </c>
    </row>
    <row r="515" spans="2:6" ht="15" customHeight="1" x14ac:dyDescent="0.35">
      <c r="B515" s="28">
        <v>2</v>
      </c>
      <c r="C515" s="28" t="s">
        <v>944</v>
      </c>
      <c r="D515" s="28" t="s">
        <v>945</v>
      </c>
      <c r="E515" s="33">
        <v>6</v>
      </c>
      <c r="F515" s="33">
        <v>2</v>
      </c>
    </row>
    <row r="516" spans="2:6" ht="15" customHeight="1" x14ac:dyDescent="0.35">
      <c r="B516" s="27">
        <v>3</v>
      </c>
      <c r="C516" s="27" t="s">
        <v>946</v>
      </c>
      <c r="D516" s="27" t="s">
        <v>947</v>
      </c>
      <c r="E516" s="33">
        <v>6</v>
      </c>
      <c r="F516" s="33">
        <v>2</v>
      </c>
    </row>
    <row r="517" spans="2:6" ht="15" customHeight="1" x14ac:dyDescent="0.35">
      <c r="B517" s="28">
        <v>4</v>
      </c>
      <c r="C517" s="28" t="s">
        <v>948</v>
      </c>
      <c r="D517" s="28" t="s">
        <v>949</v>
      </c>
      <c r="E517" s="33">
        <v>6</v>
      </c>
      <c r="F517" s="33">
        <v>2</v>
      </c>
    </row>
    <row r="518" spans="2:6" ht="15" customHeight="1" x14ac:dyDescent="0.35">
      <c r="B518" s="27">
        <v>5</v>
      </c>
      <c r="C518" s="27" t="s">
        <v>950</v>
      </c>
      <c r="D518" s="27" t="s">
        <v>951</v>
      </c>
      <c r="E518" s="33">
        <v>6</v>
      </c>
      <c r="F518" s="33">
        <v>2</v>
      </c>
    </row>
    <row r="519" spans="2:6" ht="15" customHeight="1" x14ac:dyDescent="0.35">
      <c r="B519" s="28">
        <v>6</v>
      </c>
      <c r="C519" s="28" t="s">
        <v>952</v>
      </c>
      <c r="D519" s="28" t="s">
        <v>953</v>
      </c>
      <c r="E519" s="33">
        <v>6</v>
      </c>
      <c r="F519" s="33">
        <v>2</v>
      </c>
    </row>
    <row r="520" spans="2:6" ht="15" customHeight="1" x14ac:dyDescent="0.35">
      <c r="B520" s="27">
        <v>7</v>
      </c>
      <c r="C520" s="27" t="s">
        <v>954</v>
      </c>
      <c r="D520" s="27" t="s">
        <v>955</v>
      </c>
      <c r="E520" s="33">
        <v>6</v>
      </c>
      <c r="F520" s="33">
        <v>2</v>
      </c>
    </row>
    <row r="521" spans="2:6" ht="15" customHeight="1" x14ac:dyDescent="0.35">
      <c r="B521" s="28">
        <v>8</v>
      </c>
      <c r="C521" s="28" t="s">
        <v>956</v>
      </c>
      <c r="D521" s="28" t="s">
        <v>957</v>
      </c>
      <c r="E521" s="33">
        <v>6</v>
      </c>
      <c r="F521" s="33">
        <v>2</v>
      </c>
    </row>
    <row r="522" spans="2:6" ht="15" customHeight="1" x14ac:dyDescent="0.35">
      <c r="B522" s="27">
        <v>9</v>
      </c>
      <c r="C522" s="27" t="s">
        <v>958</v>
      </c>
      <c r="D522" s="27" t="s">
        <v>959</v>
      </c>
      <c r="E522" s="33">
        <v>6</v>
      </c>
      <c r="F522" s="33">
        <v>2</v>
      </c>
    </row>
    <row r="523" spans="2:6" ht="15" customHeight="1" x14ac:dyDescent="0.35">
      <c r="B523" s="28">
        <v>10</v>
      </c>
      <c r="C523" s="28" t="s">
        <v>960</v>
      </c>
      <c r="D523" s="28" t="s">
        <v>961</v>
      </c>
      <c r="E523" s="33">
        <v>6</v>
      </c>
      <c r="F523" s="33">
        <v>2</v>
      </c>
    </row>
    <row r="524" spans="2:6" ht="15" customHeight="1" x14ac:dyDescent="0.35">
      <c r="B524" s="27">
        <v>11</v>
      </c>
      <c r="C524" s="27" t="s">
        <v>962</v>
      </c>
      <c r="D524" s="27" t="s">
        <v>963</v>
      </c>
      <c r="E524" s="33">
        <v>6</v>
      </c>
      <c r="F524" s="33">
        <v>2</v>
      </c>
    </row>
    <row r="525" spans="2:6" ht="15" customHeight="1" x14ac:dyDescent="0.35">
      <c r="B525" s="28">
        <v>12</v>
      </c>
      <c r="C525" s="28" t="s">
        <v>964</v>
      </c>
      <c r="D525" s="28" t="s">
        <v>965</v>
      </c>
      <c r="E525" s="33">
        <v>6</v>
      </c>
      <c r="F525" s="33">
        <v>2</v>
      </c>
    </row>
    <row r="526" spans="2:6" ht="15" customHeight="1" x14ac:dyDescent="0.35">
      <c r="B526" s="27">
        <v>13</v>
      </c>
      <c r="C526" s="27" t="s">
        <v>966</v>
      </c>
      <c r="D526" s="27" t="s">
        <v>967</v>
      </c>
      <c r="E526" s="33">
        <v>6</v>
      </c>
      <c r="F526" s="33">
        <v>2</v>
      </c>
    </row>
    <row r="527" spans="2:6" ht="15" customHeight="1" x14ac:dyDescent="0.35">
      <c r="B527" s="28">
        <v>14</v>
      </c>
      <c r="C527" s="28" t="s">
        <v>968</v>
      </c>
      <c r="D527" s="28" t="s">
        <v>969</v>
      </c>
      <c r="E527" s="33">
        <v>6</v>
      </c>
      <c r="F527" s="33">
        <v>2</v>
      </c>
    </row>
    <row r="528" spans="2:6" ht="15" customHeight="1" x14ac:dyDescent="0.35">
      <c r="B528" s="27">
        <v>15</v>
      </c>
      <c r="C528" s="27" t="s">
        <v>970</v>
      </c>
      <c r="D528" s="27" t="s">
        <v>971</v>
      </c>
      <c r="E528" s="33">
        <v>6</v>
      </c>
      <c r="F528" s="33">
        <v>2</v>
      </c>
    </row>
    <row r="529" spans="2:6" ht="15" customHeight="1" x14ac:dyDescent="0.35">
      <c r="B529" s="28">
        <v>16</v>
      </c>
      <c r="C529" s="28" t="s">
        <v>972</v>
      </c>
      <c r="D529" s="28" t="s">
        <v>973</v>
      </c>
      <c r="E529" s="33">
        <v>6</v>
      </c>
      <c r="F529" s="33">
        <v>2</v>
      </c>
    </row>
    <row r="530" spans="2:6" ht="15" customHeight="1" x14ac:dyDescent="0.35">
      <c r="B530" s="27">
        <v>17</v>
      </c>
      <c r="C530" s="27" t="s">
        <v>974</v>
      </c>
      <c r="D530" s="27" t="s">
        <v>975</v>
      </c>
      <c r="E530" s="33">
        <v>6</v>
      </c>
      <c r="F530" s="33">
        <v>2</v>
      </c>
    </row>
    <row r="531" spans="2:6" ht="15" customHeight="1" x14ac:dyDescent="0.35">
      <c r="B531" s="28">
        <v>18</v>
      </c>
      <c r="C531" s="28" t="s">
        <v>976</v>
      </c>
      <c r="D531" s="28" t="s">
        <v>977</v>
      </c>
      <c r="E531" s="33">
        <v>6</v>
      </c>
      <c r="F531" s="33">
        <v>2</v>
      </c>
    </row>
    <row r="532" spans="2:6" ht="15" customHeight="1" x14ac:dyDescent="0.35">
      <c r="B532" s="27">
        <v>19</v>
      </c>
      <c r="C532" s="27" t="s">
        <v>978</v>
      </c>
      <c r="D532" s="27" t="s">
        <v>979</v>
      </c>
      <c r="E532" s="33">
        <v>6</v>
      </c>
      <c r="F532" s="33">
        <v>2</v>
      </c>
    </row>
    <row r="533" spans="2:6" ht="15" customHeight="1" x14ac:dyDescent="0.35">
      <c r="B533" s="28">
        <v>20</v>
      </c>
      <c r="C533" s="28" t="s">
        <v>980</v>
      </c>
      <c r="D533" s="28" t="s">
        <v>981</v>
      </c>
      <c r="E533" s="33">
        <v>6</v>
      </c>
      <c r="F533" s="33">
        <v>2</v>
      </c>
    </row>
    <row r="534" spans="2:6" ht="15" customHeight="1" x14ac:dyDescent="0.35">
      <c r="B534" s="27">
        <v>21</v>
      </c>
      <c r="C534" s="27" t="s">
        <v>982</v>
      </c>
      <c r="D534" s="27" t="s">
        <v>983</v>
      </c>
      <c r="E534" s="33">
        <v>6</v>
      </c>
      <c r="F534" s="33">
        <v>2</v>
      </c>
    </row>
    <row r="535" spans="2:6" ht="15" customHeight="1" x14ac:dyDescent="0.35">
      <c r="B535" s="28">
        <v>22</v>
      </c>
      <c r="C535" s="28" t="s">
        <v>984</v>
      </c>
      <c r="D535" s="28" t="s">
        <v>985</v>
      </c>
      <c r="E535" s="33">
        <v>6</v>
      </c>
      <c r="F535" s="33">
        <v>2</v>
      </c>
    </row>
    <row r="536" spans="2:6" ht="15" customHeight="1" x14ac:dyDescent="0.35">
      <c r="B536" s="27">
        <v>23</v>
      </c>
      <c r="C536" s="27" t="s">
        <v>986</v>
      </c>
      <c r="D536" s="27" t="s">
        <v>987</v>
      </c>
      <c r="E536" s="33">
        <v>6</v>
      </c>
      <c r="F536" s="33">
        <v>2</v>
      </c>
    </row>
    <row r="537" spans="2:6" ht="15" customHeight="1" x14ac:dyDescent="0.35">
      <c r="B537" s="28">
        <v>24</v>
      </c>
      <c r="C537" s="28" t="s">
        <v>988</v>
      </c>
      <c r="D537" s="28" t="s">
        <v>989</v>
      </c>
      <c r="E537" s="33">
        <v>6</v>
      </c>
      <c r="F537" s="33">
        <v>2</v>
      </c>
    </row>
    <row r="538" spans="2:6" ht="15" customHeight="1" x14ac:dyDescent="0.35">
      <c r="B538" s="27">
        <v>25</v>
      </c>
      <c r="C538" s="27" t="s">
        <v>990</v>
      </c>
      <c r="D538" s="27" t="s">
        <v>991</v>
      </c>
      <c r="E538" s="33">
        <v>6</v>
      </c>
      <c r="F538" s="33">
        <v>2</v>
      </c>
    </row>
    <row r="539" spans="2:6" ht="15" customHeight="1" x14ac:dyDescent="0.35">
      <c r="B539" s="28">
        <v>26</v>
      </c>
      <c r="C539" s="28" t="s">
        <v>992</v>
      </c>
      <c r="D539" s="28" t="s">
        <v>993</v>
      </c>
      <c r="E539" s="33">
        <v>6</v>
      </c>
      <c r="F539" s="33">
        <v>2</v>
      </c>
    </row>
    <row r="540" spans="2:6" ht="15" customHeight="1" x14ac:dyDescent="0.35">
      <c r="B540" s="27">
        <v>27</v>
      </c>
      <c r="C540" s="27" t="s">
        <v>994</v>
      </c>
      <c r="D540" s="27" t="s">
        <v>995</v>
      </c>
      <c r="E540" s="33">
        <v>6</v>
      </c>
      <c r="F540" s="33">
        <v>2</v>
      </c>
    </row>
    <row r="541" spans="2:6" ht="15" customHeight="1" x14ac:dyDescent="0.35">
      <c r="B541" s="28">
        <v>28</v>
      </c>
      <c r="C541" s="28" t="s">
        <v>996</v>
      </c>
      <c r="D541" s="28" t="s">
        <v>997</v>
      </c>
      <c r="E541" s="33">
        <v>6</v>
      </c>
      <c r="F541" s="33">
        <v>2</v>
      </c>
    </row>
    <row r="542" spans="2:6" ht="15" customHeight="1" x14ac:dyDescent="0.35">
      <c r="B542" s="27">
        <v>29</v>
      </c>
      <c r="C542" s="27" t="s">
        <v>998</v>
      </c>
      <c r="D542" s="27" t="s">
        <v>999</v>
      </c>
      <c r="E542" s="33">
        <v>6</v>
      </c>
      <c r="F542" s="33">
        <v>2</v>
      </c>
    </row>
    <row r="543" spans="2:6" ht="15" customHeight="1" x14ac:dyDescent="0.35">
      <c r="B543" s="28">
        <v>30</v>
      </c>
      <c r="C543" s="28" t="s">
        <v>1000</v>
      </c>
      <c r="D543" s="28" t="s">
        <v>1001</v>
      </c>
      <c r="E543" s="33">
        <v>6</v>
      </c>
      <c r="F543" s="33">
        <v>2</v>
      </c>
    </row>
    <row r="544" spans="2:6" ht="15" customHeight="1" x14ac:dyDescent="0.35">
      <c r="B544" s="27">
        <v>31</v>
      </c>
      <c r="C544" s="27" t="s">
        <v>1002</v>
      </c>
      <c r="D544" s="27" t="s">
        <v>1003</v>
      </c>
      <c r="E544" s="33">
        <v>6</v>
      </c>
      <c r="F544" s="33">
        <v>2</v>
      </c>
    </row>
    <row r="545" spans="2:6" ht="15" customHeight="1" x14ac:dyDescent="0.35">
      <c r="B545" s="28">
        <v>32</v>
      </c>
      <c r="C545" s="28" t="s">
        <v>1004</v>
      </c>
      <c r="D545" s="28" t="s">
        <v>1005</v>
      </c>
      <c r="E545" s="33">
        <v>6</v>
      </c>
      <c r="F545" s="33">
        <v>2</v>
      </c>
    </row>
    <row r="546" spans="2:6" ht="15" customHeight="1" x14ac:dyDescent="0.35">
      <c r="B546" s="28">
        <v>33</v>
      </c>
      <c r="C546" s="28" t="s">
        <v>1006</v>
      </c>
      <c r="D546" s="28" t="s">
        <v>1007</v>
      </c>
      <c r="E546" s="33">
        <v>6</v>
      </c>
      <c r="F546" s="33">
        <v>2</v>
      </c>
    </row>
    <row r="547" spans="2:6" ht="15" customHeight="1" x14ac:dyDescent="0.35">
      <c r="B547" s="28">
        <v>34</v>
      </c>
      <c r="C547" s="27" t="s">
        <v>1008</v>
      </c>
      <c r="D547" s="27" t="s">
        <v>1009</v>
      </c>
      <c r="E547" s="33">
        <v>6</v>
      </c>
      <c r="F547" s="33">
        <v>2</v>
      </c>
    </row>
    <row r="548" spans="2:6" ht="15" customHeight="1" x14ac:dyDescent="0.35">
      <c r="B548" s="28">
        <v>35</v>
      </c>
      <c r="C548" s="28" t="s">
        <v>1010</v>
      </c>
      <c r="D548" s="28" t="s">
        <v>1011</v>
      </c>
      <c r="E548" s="33">
        <v>6</v>
      </c>
      <c r="F548" s="33">
        <v>2</v>
      </c>
    </row>
    <row r="549" spans="2:6" ht="15" customHeight="1" x14ac:dyDescent="0.35">
      <c r="B549" s="28">
        <v>36</v>
      </c>
      <c r="C549" s="27" t="s">
        <v>1012</v>
      </c>
      <c r="D549" s="27" t="s">
        <v>1013</v>
      </c>
      <c r="E549" s="33">
        <v>6</v>
      </c>
      <c r="F549" s="33">
        <v>2</v>
      </c>
    </row>
    <row r="550" spans="2:6" ht="15" customHeight="1" x14ac:dyDescent="0.35">
      <c r="B550" s="28">
        <v>37</v>
      </c>
      <c r="C550" s="28" t="s">
        <v>1014</v>
      </c>
      <c r="D550" s="28" t="s">
        <v>1015</v>
      </c>
      <c r="E550" s="33">
        <v>6</v>
      </c>
      <c r="F550" s="33">
        <v>2</v>
      </c>
    </row>
    <row r="551" spans="2:6" ht="15" customHeight="1" x14ac:dyDescent="0.35">
      <c r="B551" s="28">
        <v>38</v>
      </c>
      <c r="C551" s="27" t="s">
        <v>1016</v>
      </c>
      <c r="D551" s="27" t="s">
        <v>1017</v>
      </c>
      <c r="E551" s="33">
        <v>6</v>
      </c>
      <c r="F551" s="33">
        <v>2</v>
      </c>
    </row>
    <row r="552" spans="2:6" ht="15" customHeight="1" x14ac:dyDescent="0.35">
      <c r="B552" s="28">
        <v>39</v>
      </c>
      <c r="C552" s="28" t="s">
        <v>1018</v>
      </c>
      <c r="D552" s="28" t="s">
        <v>1019</v>
      </c>
      <c r="E552" s="33">
        <v>6</v>
      </c>
      <c r="F552" s="33">
        <v>2</v>
      </c>
    </row>
    <row r="553" spans="2:6" ht="15" customHeight="1" x14ac:dyDescent="0.35">
      <c r="E553" s="8">
        <f>SUM(E514:E552)</f>
        <v>234</v>
      </c>
      <c r="F553" s="8">
        <f>SUM(F514:F552)</f>
        <v>78</v>
      </c>
    </row>
    <row r="554" spans="2:6" ht="17.149999999999999" customHeight="1" x14ac:dyDescent="0.35">
      <c r="D554" s="35" t="s">
        <v>1302</v>
      </c>
      <c r="E554" s="34">
        <f>SUM(E553+F553)</f>
        <v>312</v>
      </c>
      <c r="F554" s="29"/>
    </row>
    <row r="555" spans="2:6" ht="17.149999999999999" customHeight="1" x14ac:dyDescent="0.35">
      <c r="D555" s="29"/>
      <c r="E555" s="29"/>
      <c r="F555" s="29"/>
    </row>
    <row r="556" spans="2:6" ht="15" customHeight="1" x14ac:dyDescent="0.35"/>
    <row r="557" spans="2:6" ht="15" customHeight="1" x14ac:dyDescent="0.35">
      <c r="C557" s="32" t="s">
        <v>137</v>
      </c>
      <c r="D557" t="s">
        <v>138</v>
      </c>
    </row>
    <row r="558" spans="2:6" ht="15" customHeight="1" x14ac:dyDescent="0.35">
      <c r="C558" t="s">
        <v>139</v>
      </c>
      <c r="D558" s="23" t="s">
        <v>140</v>
      </c>
    </row>
    <row r="559" spans="2:6" ht="15" customHeight="1" x14ac:dyDescent="0.35">
      <c r="C559" s="22" t="s">
        <v>141</v>
      </c>
      <c r="D559" s="23" t="s">
        <v>142</v>
      </c>
      <c r="E559" s="53" t="s">
        <v>1296</v>
      </c>
      <c r="F559" s="53"/>
    </row>
    <row r="560" spans="2:6" ht="15" customHeight="1" x14ac:dyDescent="0.35">
      <c r="C560" t="s">
        <v>17</v>
      </c>
      <c r="D560" t="s">
        <v>1020</v>
      </c>
      <c r="E560" s="53"/>
      <c r="F560" s="53"/>
    </row>
    <row r="561" spans="2:6" ht="15" customHeight="1" x14ac:dyDescent="0.35">
      <c r="C561" t="s">
        <v>1</v>
      </c>
      <c r="D561" t="s">
        <v>4</v>
      </c>
      <c r="E561" s="24"/>
      <c r="F561" s="24"/>
    </row>
    <row r="562" spans="2:6" ht="15" customHeight="1" x14ac:dyDescent="0.35">
      <c r="B562" s="25" t="s">
        <v>144</v>
      </c>
      <c r="C562" s="25" t="s">
        <v>145</v>
      </c>
      <c r="D562" s="25" t="s">
        <v>146</v>
      </c>
      <c r="E562" s="26" t="s">
        <v>1298</v>
      </c>
      <c r="F562" s="26" t="s">
        <v>1297</v>
      </c>
    </row>
    <row r="563" spans="2:6" ht="15" customHeight="1" x14ac:dyDescent="0.35">
      <c r="B563" s="27">
        <v>1</v>
      </c>
      <c r="C563" s="27" t="s">
        <v>1021</v>
      </c>
      <c r="D563" s="27" t="s">
        <v>1022</v>
      </c>
      <c r="E563" s="33">
        <v>6</v>
      </c>
      <c r="F563" s="1">
        <v>2</v>
      </c>
    </row>
    <row r="564" spans="2:6" ht="15" customHeight="1" x14ac:dyDescent="0.35">
      <c r="B564" s="27">
        <v>2</v>
      </c>
      <c r="C564" s="28" t="s">
        <v>1023</v>
      </c>
      <c r="D564" s="28" t="s">
        <v>1024</v>
      </c>
      <c r="E564" s="33">
        <v>6</v>
      </c>
      <c r="F564" s="1">
        <v>2</v>
      </c>
    </row>
    <row r="565" spans="2:6" ht="15" customHeight="1" x14ac:dyDescent="0.35">
      <c r="B565" s="27">
        <v>3</v>
      </c>
      <c r="C565" s="28" t="s">
        <v>1025</v>
      </c>
      <c r="D565" s="28" t="s">
        <v>1026</v>
      </c>
      <c r="E565" s="33">
        <v>6</v>
      </c>
      <c r="F565" s="1">
        <v>2</v>
      </c>
    </row>
    <row r="566" spans="2:6" ht="15" customHeight="1" x14ac:dyDescent="0.35">
      <c r="B566" s="27">
        <v>4</v>
      </c>
      <c r="C566" s="27" t="s">
        <v>1027</v>
      </c>
      <c r="D566" s="27" t="s">
        <v>1028</v>
      </c>
      <c r="E566" s="33">
        <v>6</v>
      </c>
      <c r="F566" s="1">
        <v>2</v>
      </c>
    </row>
    <row r="567" spans="2:6" ht="15" customHeight="1" x14ac:dyDescent="0.35">
      <c r="B567" s="27">
        <v>5</v>
      </c>
      <c r="C567" s="28" t="s">
        <v>1029</v>
      </c>
      <c r="D567" s="28" t="s">
        <v>1030</v>
      </c>
      <c r="E567" s="33">
        <v>0</v>
      </c>
      <c r="F567" s="1">
        <v>2</v>
      </c>
    </row>
    <row r="568" spans="2:6" ht="15" customHeight="1" x14ac:dyDescent="0.35">
      <c r="B568" s="27">
        <v>6</v>
      </c>
      <c r="C568" s="27" t="s">
        <v>1031</v>
      </c>
      <c r="D568" s="27" t="s">
        <v>1032</v>
      </c>
      <c r="E568" s="33">
        <v>6</v>
      </c>
      <c r="F568" s="1">
        <v>2</v>
      </c>
    </row>
    <row r="569" spans="2:6" ht="15" customHeight="1" x14ac:dyDescent="0.35">
      <c r="B569" s="27">
        <v>7</v>
      </c>
      <c r="C569" s="28" t="s">
        <v>1033</v>
      </c>
      <c r="D569" s="28" t="s">
        <v>1034</v>
      </c>
      <c r="E569" s="33">
        <v>6</v>
      </c>
      <c r="F569" s="1">
        <v>2</v>
      </c>
    </row>
    <row r="570" spans="2:6" ht="15" customHeight="1" x14ac:dyDescent="0.35">
      <c r="B570" s="27">
        <v>8</v>
      </c>
      <c r="C570" s="27" t="s">
        <v>1035</v>
      </c>
      <c r="D570" s="27" t="s">
        <v>1036</v>
      </c>
      <c r="E570" s="33">
        <v>6</v>
      </c>
      <c r="F570" s="1">
        <v>2</v>
      </c>
    </row>
    <row r="571" spans="2:6" ht="15" customHeight="1" x14ac:dyDescent="0.35">
      <c r="B571" s="27">
        <v>9</v>
      </c>
      <c r="C571" s="28" t="s">
        <v>1037</v>
      </c>
      <c r="D571" s="28" t="s">
        <v>1038</v>
      </c>
      <c r="E571" s="33">
        <v>6</v>
      </c>
      <c r="F571" s="1">
        <v>2</v>
      </c>
    </row>
    <row r="572" spans="2:6" ht="15" customHeight="1" x14ac:dyDescent="0.35">
      <c r="B572" s="27">
        <v>10</v>
      </c>
      <c r="C572" s="27" t="s">
        <v>1039</v>
      </c>
      <c r="D572" s="27" t="s">
        <v>1040</v>
      </c>
      <c r="E572" s="33">
        <v>6</v>
      </c>
      <c r="F572" s="1">
        <v>2</v>
      </c>
    </row>
    <row r="573" spans="2:6" ht="15" customHeight="1" x14ac:dyDescent="0.35">
      <c r="B573" s="27">
        <v>11</v>
      </c>
      <c r="C573" s="28" t="s">
        <v>1041</v>
      </c>
      <c r="D573" s="28" t="s">
        <v>1042</v>
      </c>
      <c r="E573" s="33">
        <v>6</v>
      </c>
      <c r="F573" s="1">
        <v>2</v>
      </c>
    </row>
    <row r="574" spans="2:6" ht="15" customHeight="1" x14ac:dyDescent="0.35">
      <c r="B574" s="27">
        <v>12</v>
      </c>
      <c r="C574" s="27" t="s">
        <v>1043</v>
      </c>
      <c r="D574" s="27" t="s">
        <v>1044</v>
      </c>
      <c r="E574" s="33">
        <v>6</v>
      </c>
      <c r="F574" s="1">
        <v>2</v>
      </c>
    </row>
    <row r="575" spans="2:6" ht="15" customHeight="1" x14ac:dyDescent="0.35">
      <c r="B575" s="27">
        <v>13</v>
      </c>
      <c r="C575" s="28" t="s">
        <v>1045</v>
      </c>
      <c r="D575" s="28" t="s">
        <v>1046</v>
      </c>
      <c r="E575" s="33">
        <v>6</v>
      </c>
      <c r="F575" s="1">
        <v>2</v>
      </c>
    </row>
    <row r="576" spans="2:6" ht="15" customHeight="1" x14ac:dyDescent="0.35">
      <c r="B576" s="27">
        <v>14</v>
      </c>
      <c r="C576" s="27" t="s">
        <v>1047</v>
      </c>
      <c r="D576" s="27" t="s">
        <v>1048</v>
      </c>
      <c r="E576" s="33">
        <v>6</v>
      </c>
      <c r="F576" s="1">
        <v>2</v>
      </c>
    </row>
    <row r="577" spans="2:6" ht="15" customHeight="1" x14ac:dyDescent="0.35">
      <c r="B577" s="27">
        <v>15</v>
      </c>
      <c r="C577" s="28" t="s">
        <v>1049</v>
      </c>
      <c r="D577" s="28" t="s">
        <v>1050</v>
      </c>
      <c r="E577" s="33">
        <v>6</v>
      </c>
      <c r="F577" s="1">
        <v>2</v>
      </c>
    </row>
    <row r="578" spans="2:6" ht="15" customHeight="1" x14ac:dyDescent="0.35">
      <c r="B578" s="27">
        <v>16</v>
      </c>
      <c r="C578" s="27" t="s">
        <v>1051</v>
      </c>
      <c r="D578" s="27" t="s">
        <v>1052</v>
      </c>
      <c r="E578" s="33">
        <v>6</v>
      </c>
      <c r="F578" s="1">
        <v>2</v>
      </c>
    </row>
    <row r="579" spans="2:6" ht="15" customHeight="1" x14ac:dyDescent="0.35">
      <c r="B579" s="27">
        <v>17</v>
      </c>
      <c r="C579" s="28" t="s">
        <v>1053</v>
      </c>
      <c r="D579" s="28" t="s">
        <v>1054</v>
      </c>
      <c r="E579" s="33">
        <v>6</v>
      </c>
      <c r="F579" s="1">
        <v>2</v>
      </c>
    </row>
    <row r="580" spans="2:6" ht="15" customHeight="1" x14ac:dyDescent="0.35">
      <c r="B580" s="27">
        <v>18</v>
      </c>
      <c r="C580" s="27" t="s">
        <v>1055</v>
      </c>
      <c r="D580" s="27" t="s">
        <v>1056</v>
      </c>
      <c r="E580" s="33">
        <v>6</v>
      </c>
      <c r="F580" s="1">
        <v>2</v>
      </c>
    </row>
    <row r="581" spans="2:6" ht="15" customHeight="1" x14ac:dyDescent="0.35">
      <c r="B581" s="27">
        <v>19</v>
      </c>
      <c r="C581" s="28" t="s">
        <v>1057</v>
      </c>
      <c r="D581" s="28" t="s">
        <v>1058</v>
      </c>
      <c r="E581" s="33">
        <v>6</v>
      </c>
      <c r="F581" s="1">
        <v>2</v>
      </c>
    </row>
    <row r="582" spans="2:6" ht="15" customHeight="1" x14ac:dyDescent="0.35">
      <c r="B582" s="27">
        <v>20</v>
      </c>
      <c r="C582" s="27" t="s">
        <v>1059</v>
      </c>
      <c r="D582" s="27" t="s">
        <v>1060</v>
      </c>
      <c r="E582" s="33">
        <v>6</v>
      </c>
      <c r="F582" s="1">
        <v>2</v>
      </c>
    </row>
    <row r="583" spans="2:6" ht="15" customHeight="1" x14ac:dyDescent="0.35">
      <c r="B583" s="27">
        <v>21</v>
      </c>
      <c r="C583" s="28" t="s">
        <v>1061</v>
      </c>
      <c r="D583" s="28" t="s">
        <v>1062</v>
      </c>
      <c r="E583" s="33">
        <v>6</v>
      </c>
      <c r="F583" s="1">
        <v>2</v>
      </c>
    </row>
    <row r="584" spans="2:6" ht="15" customHeight="1" x14ac:dyDescent="0.35">
      <c r="B584" s="27">
        <v>22</v>
      </c>
      <c r="C584" s="27" t="s">
        <v>1063</v>
      </c>
      <c r="D584" s="27" t="s">
        <v>1064</v>
      </c>
      <c r="E584" s="33">
        <v>6</v>
      </c>
      <c r="F584" s="1">
        <v>2</v>
      </c>
    </row>
    <row r="585" spans="2:6" ht="15" customHeight="1" x14ac:dyDescent="0.35">
      <c r="B585" s="27">
        <v>23</v>
      </c>
      <c r="C585" s="28" t="s">
        <v>1065</v>
      </c>
      <c r="D585" s="28" t="s">
        <v>1066</v>
      </c>
      <c r="E585" s="33">
        <v>6</v>
      </c>
      <c r="F585" s="1">
        <v>2</v>
      </c>
    </row>
    <row r="586" spans="2:6" ht="15" customHeight="1" x14ac:dyDescent="0.35">
      <c r="B586" s="27">
        <v>24</v>
      </c>
      <c r="C586" s="27" t="s">
        <v>1067</v>
      </c>
      <c r="D586" s="27" t="s">
        <v>1068</v>
      </c>
      <c r="E586" s="33">
        <v>6</v>
      </c>
      <c r="F586" s="1">
        <v>2</v>
      </c>
    </row>
    <row r="587" spans="2:6" ht="15" customHeight="1" x14ac:dyDescent="0.35">
      <c r="B587" s="27">
        <v>25</v>
      </c>
      <c r="C587" s="28" t="s">
        <v>1069</v>
      </c>
      <c r="D587" s="28" t="s">
        <v>1070</v>
      </c>
      <c r="E587" s="33">
        <v>6</v>
      </c>
      <c r="F587" s="1">
        <v>2</v>
      </c>
    </row>
    <row r="588" spans="2:6" ht="15" customHeight="1" x14ac:dyDescent="0.35">
      <c r="B588" s="27">
        <v>26</v>
      </c>
      <c r="C588" s="28" t="s">
        <v>1071</v>
      </c>
      <c r="D588" s="28" t="s">
        <v>1072</v>
      </c>
      <c r="E588" s="33">
        <v>6</v>
      </c>
      <c r="F588" s="1">
        <v>2</v>
      </c>
    </row>
    <row r="589" spans="2:6" ht="15" customHeight="1" x14ac:dyDescent="0.35">
      <c r="B589" s="27">
        <v>27</v>
      </c>
      <c r="C589" s="28" t="s">
        <v>1073</v>
      </c>
      <c r="D589" s="28" t="s">
        <v>1074</v>
      </c>
      <c r="E589" s="33">
        <v>6</v>
      </c>
      <c r="F589" s="1">
        <v>2</v>
      </c>
    </row>
    <row r="590" spans="2:6" ht="15" customHeight="1" x14ac:dyDescent="0.35">
      <c r="B590" s="27">
        <v>28</v>
      </c>
      <c r="C590" s="28" t="s">
        <v>1075</v>
      </c>
      <c r="D590" s="28" t="s">
        <v>1076</v>
      </c>
      <c r="E590" s="33">
        <v>6</v>
      </c>
      <c r="F590" s="1">
        <v>2</v>
      </c>
    </row>
    <row r="591" spans="2:6" ht="15" customHeight="1" x14ac:dyDescent="0.35">
      <c r="B591" s="27">
        <v>29</v>
      </c>
      <c r="C591" s="28" t="s">
        <v>1077</v>
      </c>
      <c r="D591" s="28" t="s">
        <v>1078</v>
      </c>
      <c r="E591" s="33">
        <v>0</v>
      </c>
      <c r="F591" s="1">
        <v>2</v>
      </c>
    </row>
    <row r="592" spans="2:6" ht="15" customHeight="1" x14ac:dyDescent="0.35">
      <c r="B592" s="27">
        <v>30</v>
      </c>
      <c r="C592" s="27" t="s">
        <v>1079</v>
      </c>
      <c r="D592" s="27" t="s">
        <v>1080</v>
      </c>
      <c r="E592" s="33">
        <v>6</v>
      </c>
      <c r="F592" s="1">
        <v>2</v>
      </c>
    </row>
    <row r="593" spans="2:6" ht="15" customHeight="1" x14ac:dyDescent="0.35">
      <c r="B593" s="27">
        <v>31</v>
      </c>
      <c r="C593" s="28" t="s">
        <v>1081</v>
      </c>
      <c r="D593" s="28" t="s">
        <v>1082</v>
      </c>
      <c r="E593" s="33">
        <v>6</v>
      </c>
      <c r="F593" s="1">
        <v>2</v>
      </c>
    </row>
    <row r="594" spans="2:6" ht="15" customHeight="1" x14ac:dyDescent="0.35">
      <c r="B594" s="27">
        <v>32</v>
      </c>
      <c r="C594" s="27" t="s">
        <v>1083</v>
      </c>
      <c r="D594" s="27" t="s">
        <v>1084</v>
      </c>
      <c r="E594" s="33">
        <v>6</v>
      </c>
      <c r="F594" s="1">
        <v>2</v>
      </c>
    </row>
    <row r="595" spans="2:6" ht="15" customHeight="1" x14ac:dyDescent="0.35">
      <c r="B595" s="27">
        <v>33</v>
      </c>
      <c r="C595" s="28" t="s">
        <v>1085</v>
      </c>
      <c r="D595" s="28" t="s">
        <v>1086</v>
      </c>
      <c r="E595" s="33">
        <v>6</v>
      </c>
      <c r="F595" s="1">
        <v>2</v>
      </c>
    </row>
    <row r="596" spans="2:6" ht="15" customHeight="1" x14ac:dyDescent="0.35">
      <c r="B596" s="27">
        <v>34</v>
      </c>
      <c r="C596" s="27" t="s">
        <v>1087</v>
      </c>
      <c r="D596" s="27" t="s">
        <v>1088</v>
      </c>
      <c r="E596" s="33">
        <v>6</v>
      </c>
      <c r="F596" s="1">
        <v>2</v>
      </c>
    </row>
    <row r="597" spans="2:6" ht="15" customHeight="1" x14ac:dyDescent="0.35">
      <c r="B597" s="27">
        <v>35</v>
      </c>
      <c r="C597" s="28" t="s">
        <v>1089</v>
      </c>
      <c r="D597" s="28" t="s">
        <v>1090</v>
      </c>
      <c r="E597" s="33">
        <v>6</v>
      </c>
      <c r="F597" s="1">
        <v>2</v>
      </c>
    </row>
    <row r="598" spans="2:6" ht="15" customHeight="1" x14ac:dyDescent="0.35">
      <c r="B598" s="27">
        <v>36</v>
      </c>
      <c r="C598" s="28"/>
      <c r="D598" s="28" t="s">
        <v>1316</v>
      </c>
      <c r="E598" s="33">
        <v>6</v>
      </c>
      <c r="F598" s="44"/>
    </row>
    <row r="599" spans="2:6" ht="15" customHeight="1" x14ac:dyDescent="0.35">
      <c r="E599" s="8">
        <f>SUM(E563:E598)</f>
        <v>204</v>
      </c>
      <c r="F599" s="8">
        <f>SUM(F563:F598)</f>
        <v>70</v>
      </c>
    </row>
    <row r="600" spans="2:6" ht="17.149999999999999" customHeight="1" x14ac:dyDescent="0.35">
      <c r="D600" s="35" t="s">
        <v>1302</v>
      </c>
      <c r="E600" s="45">
        <f>SUM(E599+F599)</f>
        <v>274</v>
      </c>
      <c r="F600" s="29"/>
    </row>
    <row r="601" spans="2:6" ht="15" customHeight="1" x14ac:dyDescent="0.35"/>
    <row r="602" spans="2:6" ht="15" customHeight="1" x14ac:dyDescent="0.35">
      <c r="C602" s="32" t="s">
        <v>137</v>
      </c>
      <c r="D602" t="s">
        <v>138</v>
      </c>
    </row>
    <row r="603" spans="2:6" ht="15" customHeight="1" x14ac:dyDescent="0.35">
      <c r="C603" t="s">
        <v>139</v>
      </c>
      <c r="D603" s="23" t="s">
        <v>140</v>
      </c>
      <c r="E603" s="53" t="s">
        <v>1296</v>
      </c>
      <c r="F603" s="53"/>
    </row>
    <row r="604" spans="2:6" ht="15" customHeight="1" x14ac:dyDescent="0.35">
      <c r="C604" s="22" t="s">
        <v>141</v>
      </c>
      <c r="D604" s="23" t="s">
        <v>142</v>
      </c>
      <c r="E604" s="53"/>
      <c r="F604" s="53"/>
    </row>
    <row r="605" spans="2:6" ht="15" customHeight="1" x14ac:dyDescent="0.35">
      <c r="C605" t="s">
        <v>17</v>
      </c>
      <c r="D605" t="s">
        <v>1020</v>
      </c>
      <c r="E605" s="23"/>
      <c r="F605" s="23"/>
    </row>
    <row r="606" spans="2:6" ht="15" customHeight="1" x14ac:dyDescent="0.35">
      <c r="C606" t="s">
        <v>1</v>
      </c>
      <c r="D606" t="s">
        <v>5</v>
      </c>
      <c r="E606" s="24"/>
      <c r="F606" s="24"/>
    </row>
    <row r="607" spans="2:6" ht="15" customHeight="1" x14ac:dyDescent="0.35">
      <c r="B607" s="25" t="s">
        <v>144</v>
      </c>
      <c r="C607" s="25" t="s">
        <v>145</v>
      </c>
      <c r="D607" s="25" t="s">
        <v>146</v>
      </c>
      <c r="E607" s="26" t="s">
        <v>1315</v>
      </c>
      <c r="F607" s="39">
        <v>2</v>
      </c>
    </row>
    <row r="608" spans="2:6" ht="15" customHeight="1" x14ac:dyDescent="0.35">
      <c r="B608" s="27">
        <v>1</v>
      </c>
      <c r="C608" s="27" t="s">
        <v>1091</v>
      </c>
      <c r="D608" s="27" t="s">
        <v>1092</v>
      </c>
      <c r="E608" s="33">
        <v>6</v>
      </c>
      <c r="F608" s="33">
        <v>2</v>
      </c>
    </row>
    <row r="609" spans="2:6" ht="15" customHeight="1" x14ac:dyDescent="0.35">
      <c r="B609" s="27">
        <v>2</v>
      </c>
      <c r="C609" s="27"/>
      <c r="D609" s="27" t="s">
        <v>1317</v>
      </c>
      <c r="E609" s="33">
        <v>6</v>
      </c>
      <c r="F609" s="33">
        <v>2</v>
      </c>
    </row>
    <row r="610" spans="2:6" ht="15" customHeight="1" x14ac:dyDescent="0.35">
      <c r="B610" s="27">
        <v>3</v>
      </c>
      <c r="C610" s="28" t="s">
        <v>1093</v>
      </c>
      <c r="D610" s="28" t="s">
        <v>1094</v>
      </c>
      <c r="E610" s="33">
        <v>6</v>
      </c>
      <c r="F610" s="33">
        <v>2</v>
      </c>
    </row>
    <row r="611" spans="2:6" ht="15" customHeight="1" x14ac:dyDescent="0.35">
      <c r="B611" s="27">
        <v>4</v>
      </c>
      <c r="C611" s="27" t="s">
        <v>1095</v>
      </c>
      <c r="D611" s="27" t="s">
        <v>1096</v>
      </c>
      <c r="E611" s="33">
        <v>6</v>
      </c>
      <c r="F611" s="33">
        <v>2</v>
      </c>
    </row>
    <row r="612" spans="2:6" ht="15" customHeight="1" x14ac:dyDescent="0.35">
      <c r="B612" s="27">
        <v>5</v>
      </c>
      <c r="C612" s="27" t="s">
        <v>1097</v>
      </c>
      <c r="D612" s="27" t="s">
        <v>1098</v>
      </c>
      <c r="E612" s="33">
        <v>6</v>
      </c>
      <c r="F612" s="33">
        <v>2</v>
      </c>
    </row>
    <row r="613" spans="2:6" ht="15" customHeight="1" x14ac:dyDescent="0.35">
      <c r="B613" s="27">
        <v>6</v>
      </c>
      <c r="C613" s="28" t="s">
        <v>1099</v>
      </c>
      <c r="D613" s="28" t="s">
        <v>1100</v>
      </c>
      <c r="E613" s="33">
        <v>6</v>
      </c>
      <c r="F613" s="33">
        <v>2</v>
      </c>
    </row>
    <row r="614" spans="2:6" ht="15" customHeight="1" x14ac:dyDescent="0.35">
      <c r="B614" s="27">
        <v>7</v>
      </c>
      <c r="C614" s="27" t="s">
        <v>1101</v>
      </c>
      <c r="D614" s="27" t="s">
        <v>1102</v>
      </c>
      <c r="E614" s="33">
        <v>6</v>
      </c>
      <c r="F614" s="33">
        <v>2</v>
      </c>
    </row>
    <row r="615" spans="2:6" ht="15" customHeight="1" x14ac:dyDescent="0.35">
      <c r="B615" s="27">
        <v>8</v>
      </c>
      <c r="C615" s="28" t="s">
        <v>1103</v>
      </c>
      <c r="D615" s="28" t="s">
        <v>1104</v>
      </c>
      <c r="E615" s="33">
        <v>6</v>
      </c>
      <c r="F615" s="33">
        <v>2</v>
      </c>
    </row>
    <row r="616" spans="2:6" ht="15" customHeight="1" x14ac:dyDescent="0.35">
      <c r="B616" s="27">
        <v>9</v>
      </c>
      <c r="C616" s="27" t="s">
        <v>1105</v>
      </c>
      <c r="D616" s="27" t="s">
        <v>1106</v>
      </c>
      <c r="E616" s="33">
        <v>6</v>
      </c>
      <c r="F616" s="33">
        <v>2</v>
      </c>
    </row>
    <row r="617" spans="2:6" ht="15" customHeight="1" x14ac:dyDescent="0.35">
      <c r="B617" s="27">
        <v>10</v>
      </c>
      <c r="C617" s="28" t="s">
        <v>1107</v>
      </c>
      <c r="D617" s="28" t="s">
        <v>1108</v>
      </c>
      <c r="E617" s="33">
        <v>6</v>
      </c>
      <c r="F617" s="33">
        <v>2</v>
      </c>
    </row>
    <row r="618" spans="2:6" ht="15" customHeight="1" x14ac:dyDescent="0.35">
      <c r="B618" s="27">
        <v>11</v>
      </c>
      <c r="C618" s="27" t="s">
        <v>1109</v>
      </c>
      <c r="D618" s="27" t="s">
        <v>1110</v>
      </c>
      <c r="E618" s="33">
        <v>0</v>
      </c>
      <c r="F618" s="33">
        <v>2</v>
      </c>
    </row>
    <row r="619" spans="2:6" ht="15" customHeight="1" x14ac:dyDescent="0.35">
      <c r="B619" s="27">
        <v>12</v>
      </c>
      <c r="C619" s="28" t="s">
        <v>1111</v>
      </c>
      <c r="D619" s="28" t="s">
        <v>1112</v>
      </c>
      <c r="E619" s="33">
        <v>6</v>
      </c>
      <c r="F619" s="33">
        <v>2</v>
      </c>
    </row>
    <row r="620" spans="2:6" ht="15" customHeight="1" x14ac:dyDescent="0.35">
      <c r="B620" s="27">
        <v>13</v>
      </c>
      <c r="C620" s="28" t="s">
        <v>1113</v>
      </c>
      <c r="D620" s="28" t="s">
        <v>1114</v>
      </c>
      <c r="E620" s="33">
        <v>6</v>
      </c>
      <c r="F620" s="33">
        <v>2</v>
      </c>
    </row>
    <row r="621" spans="2:6" ht="15" customHeight="1" x14ac:dyDescent="0.35">
      <c r="B621" s="27">
        <v>14</v>
      </c>
      <c r="C621" s="27" t="s">
        <v>1115</v>
      </c>
      <c r="D621" s="27" t="s">
        <v>1116</v>
      </c>
      <c r="E621" s="33">
        <v>6</v>
      </c>
      <c r="F621" s="33">
        <v>2</v>
      </c>
    </row>
    <row r="622" spans="2:6" ht="15" customHeight="1" x14ac:dyDescent="0.35">
      <c r="B622" s="27">
        <v>15</v>
      </c>
      <c r="C622" s="28" t="s">
        <v>1117</v>
      </c>
      <c r="D622" s="28" t="s">
        <v>1118</v>
      </c>
      <c r="E622" s="33">
        <v>6</v>
      </c>
      <c r="F622" s="33">
        <v>2</v>
      </c>
    </row>
    <row r="623" spans="2:6" ht="15" customHeight="1" x14ac:dyDescent="0.35">
      <c r="B623" s="27">
        <v>16</v>
      </c>
      <c r="C623" s="27" t="s">
        <v>1119</v>
      </c>
      <c r="D623" s="27" t="s">
        <v>1120</v>
      </c>
      <c r="E623" s="33">
        <v>6</v>
      </c>
      <c r="F623" s="33">
        <v>2</v>
      </c>
    </row>
    <row r="624" spans="2:6" ht="15" customHeight="1" x14ac:dyDescent="0.35">
      <c r="B624" s="27">
        <v>17</v>
      </c>
      <c r="C624" s="28" t="s">
        <v>1121</v>
      </c>
      <c r="D624" s="28" t="s">
        <v>1122</v>
      </c>
      <c r="E624" s="33">
        <v>6</v>
      </c>
      <c r="F624" s="33">
        <v>2</v>
      </c>
    </row>
    <row r="625" spans="2:6" ht="15" customHeight="1" x14ac:dyDescent="0.35">
      <c r="B625" s="27">
        <v>18</v>
      </c>
      <c r="C625" s="27" t="s">
        <v>1123</v>
      </c>
      <c r="D625" s="27" t="s">
        <v>1124</v>
      </c>
      <c r="E625" s="33">
        <v>6</v>
      </c>
      <c r="F625" s="33">
        <v>2</v>
      </c>
    </row>
    <row r="626" spans="2:6" ht="15" customHeight="1" x14ac:dyDescent="0.35">
      <c r="B626" s="27">
        <v>19</v>
      </c>
      <c r="C626" s="28" t="s">
        <v>1125</v>
      </c>
      <c r="D626" s="28" t="s">
        <v>1126</v>
      </c>
      <c r="E626" s="33">
        <v>6</v>
      </c>
      <c r="F626" s="33">
        <v>2</v>
      </c>
    </row>
    <row r="627" spans="2:6" ht="15" customHeight="1" x14ac:dyDescent="0.35">
      <c r="B627" s="27">
        <v>20</v>
      </c>
      <c r="C627" s="27" t="s">
        <v>1127</v>
      </c>
      <c r="D627" s="27" t="s">
        <v>1128</v>
      </c>
      <c r="E627" s="33">
        <v>6</v>
      </c>
      <c r="F627" s="33">
        <v>2</v>
      </c>
    </row>
    <row r="628" spans="2:6" ht="15" customHeight="1" x14ac:dyDescent="0.35">
      <c r="B628" s="27">
        <v>21</v>
      </c>
      <c r="C628" s="28" t="s">
        <v>1129</v>
      </c>
      <c r="D628" s="28" t="s">
        <v>1130</v>
      </c>
      <c r="E628" s="33">
        <v>6</v>
      </c>
      <c r="F628" s="33">
        <v>2</v>
      </c>
    </row>
    <row r="629" spans="2:6" ht="15" customHeight="1" x14ac:dyDescent="0.35">
      <c r="B629" s="27">
        <v>22</v>
      </c>
      <c r="C629" s="27" t="s">
        <v>1131</v>
      </c>
      <c r="D629" s="27" t="s">
        <v>1132</v>
      </c>
      <c r="E629" s="33">
        <v>6</v>
      </c>
      <c r="F629" s="33">
        <v>2</v>
      </c>
    </row>
    <row r="630" spans="2:6" ht="15" customHeight="1" x14ac:dyDescent="0.35">
      <c r="B630" s="27">
        <v>23</v>
      </c>
      <c r="C630" s="28" t="s">
        <v>1133</v>
      </c>
      <c r="D630" s="28" t="s">
        <v>1134</v>
      </c>
      <c r="E630" s="33">
        <v>6</v>
      </c>
      <c r="F630" s="33">
        <v>2</v>
      </c>
    </row>
    <row r="631" spans="2:6" ht="15" customHeight="1" x14ac:dyDescent="0.35">
      <c r="B631" s="27">
        <v>24</v>
      </c>
      <c r="C631" s="27" t="s">
        <v>1135</v>
      </c>
      <c r="D631" s="27" t="s">
        <v>1136</v>
      </c>
      <c r="E631" s="33">
        <v>6</v>
      </c>
      <c r="F631" s="33">
        <v>2</v>
      </c>
    </row>
    <row r="632" spans="2:6" ht="15" customHeight="1" x14ac:dyDescent="0.35">
      <c r="B632" s="27">
        <v>25</v>
      </c>
      <c r="C632" s="28" t="s">
        <v>1137</v>
      </c>
      <c r="D632" s="28" t="s">
        <v>1138</v>
      </c>
      <c r="E632" s="33">
        <v>6</v>
      </c>
      <c r="F632" s="33">
        <v>2</v>
      </c>
    </row>
    <row r="633" spans="2:6" ht="15" customHeight="1" x14ac:dyDescent="0.35">
      <c r="B633" s="27">
        <v>26</v>
      </c>
      <c r="C633" s="27" t="s">
        <v>1139</v>
      </c>
      <c r="D633" s="27" t="s">
        <v>1140</v>
      </c>
      <c r="E633" s="33">
        <v>6</v>
      </c>
      <c r="F633" s="33">
        <v>2</v>
      </c>
    </row>
    <row r="634" spans="2:6" ht="15" customHeight="1" x14ac:dyDescent="0.35">
      <c r="B634" s="27">
        <v>27</v>
      </c>
      <c r="C634" s="28" t="s">
        <v>1141</v>
      </c>
      <c r="D634" s="28" t="s">
        <v>1142</v>
      </c>
      <c r="E634" s="33">
        <v>6</v>
      </c>
      <c r="F634" s="33">
        <v>2</v>
      </c>
    </row>
    <row r="635" spans="2:6" ht="15" customHeight="1" x14ac:dyDescent="0.35">
      <c r="B635" s="27">
        <v>28</v>
      </c>
      <c r="C635" s="27" t="s">
        <v>1143</v>
      </c>
      <c r="D635" s="27" t="s">
        <v>1144</v>
      </c>
      <c r="E635" s="33">
        <v>6</v>
      </c>
      <c r="F635" s="33">
        <v>2</v>
      </c>
    </row>
    <row r="636" spans="2:6" ht="15" customHeight="1" x14ac:dyDescent="0.35">
      <c r="B636" s="27">
        <v>29</v>
      </c>
      <c r="C636" s="28" t="s">
        <v>1145</v>
      </c>
      <c r="D636" s="28" t="s">
        <v>1146</v>
      </c>
      <c r="E636" s="33">
        <v>6</v>
      </c>
      <c r="F636" s="33">
        <v>2</v>
      </c>
    </row>
    <row r="637" spans="2:6" ht="15" customHeight="1" x14ac:dyDescent="0.35">
      <c r="B637" s="27">
        <v>30</v>
      </c>
      <c r="C637" s="28" t="s">
        <v>1147</v>
      </c>
      <c r="D637" s="28" t="s">
        <v>1148</v>
      </c>
      <c r="E637" s="33">
        <v>6</v>
      </c>
      <c r="F637" s="33">
        <v>2</v>
      </c>
    </row>
    <row r="638" spans="2:6" ht="15" customHeight="1" x14ac:dyDescent="0.35">
      <c r="B638" s="27">
        <v>31</v>
      </c>
      <c r="C638" s="28" t="s">
        <v>1149</v>
      </c>
      <c r="D638" s="28" t="s">
        <v>1150</v>
      </c>
      <c r="E638" s="33">
        <v>6</v>
      </c>
      <c r="F638" s="33">
        <v>2</v>
      </c>
    </row>
    <row r="639" spans="2:6" ht="15" customHeight="1" x14ac:dyDescent="0.35">
      <c r="B639" s="27">
        <v>32</v>
      </c>
      <c r="C639" s="28" t="s">
        <v>1151</v>
      </c>
      <c r="D639" s="28" t="s">
        <v>1152</v>
      </c>
      <c r="E639" s="33">
        <v>6</v>
      </c>
      <c r="F639" s="33">
        <v>2</v>
      </c>
    </row>
    <row r="640" spans="2:6" ht="15" customHeight="1" x14ac:dyDescent="0.35">
      <c r="B640" s="27">
        <v>33</v>
      </c>
      <c r="C640" s="28" t="s">
        <v>1153</v>
      </c>
      <c r="D640" s="28" t="s">
        <v>1154</v>
      </c>
      <c r="E640" s="33">
        <v>6</v>
      </c>
      <c r="F640" s="33">
        <v>2</v>
      </c>
    </row>
    <row r="641" spans="2:6" ht="15" customHeight="1" x14ac:dyDescent="0.35">
      <c r="B641" s="27">
        <v>34</v>
      </c>
      <c r="C641" s="27" t="s">
        <v>1155</v>
      </c>
      <c r="D641" s="27" t="s">
        <v>1156</v>
      </c>
      <c r="E641" s="33">
        <v>6</v>
      </c>
      <c r="F641" s="33">
        <v>2</v>
      </c>
    </row>
    <row r="642" spans="2:6" ht="15" customHeight="1" x14ac:dyDescent="0.35">
      <c r="B642" s="27">
        <v>35</v>
      </c>
      <c r="C642" s="28" t="s">
        <v>1157</v>
      </c>
      <c r="D642" s="28" t="s">
        <v>1158</v>
      </c>
      <c r="E642" s="33">
        <v>6</v>
      </c>
      <c r="F642" s="33">
        <v>2</v>
      </c>
    </row>
    <row r="643" spans="2:6" ht="15" customHeight="1" x14ac:dyDescent="0.35">
      <c r="B643" s="27">
        <v>36</v>
      </c>
      <c r="C643" s="28" t="s">
        <v>1159</v>
      </c>
      <c r="D643" s="28" t="s">
        <v>1160</v>
      </c>
      <c r="E643" s="33">
        <v>6</v>
      </c>
      <c r="F643" s="33">
        <v>2</v>
      </c>
    </row>
    <row r="644" spans="2:6" ht="15" customHeight="1" x14ac:dyDescent="0.35">
      <c r="E644" s="8">
        <f>SUM(E608:E643)</f>
        <v>210</v>
      </c>
      <c r="F644" s="8">
        <f>SUM(F608:F643)</f>
        <v>72</v>
      </c>
    </row>
    <row r="645" spans="2:6" ht="17.149999999999999" customHeight="1" x14ac:dyDescent="0.35">
      <c r="D645" s="35" t="s">
        <v>1318</v>
      </c>
      <c r="E645" s="45">
        <f>SUM(E644+F644)</f>
        <v>282</v>
      </c>
      <c r="F645" s="29"/>
    </row>
    <row r="646" spans="2:6" ht="17.149999999999999" customHeight="1" x14ac:dyDescent="0.35">
      <c r="D646" s="29"/>
      <c r="E646" s="29"/>
      <c r="F646" s="29"/>
    </row>
    <row r="648" spans="2:6" ht="29" x14ac:dyDescent="0.35">
      <c r="C648" s="22" t="s">
        <v>137</v>
      </c>
      <c r="D648" s="23" t="s">
        <v>138</v>
      </c>
    </row>
    <row r="649" spans="2:6" x14ac:dyDescent="0.35">
      <c r="C649" s="22" t="s">
        <v>139</v>
      </c>
      <c r="D649" s="23" t="s">
        <v>140</v>
      </c>
    </row>
    <row r="650" spans="2:6" x14ac:dyDescent="0.35">
      <c r="C650" s="22" t="s">
        <v>141</v>
      </c>
      <c r="D650" s="23" t="s">
        <v>142</v>
      </c>
      <c r="E650" s="53" t="s">
        <v>1296</v>
      </c>
      <c r="F650" s="53"/>
    </row>
    <row r="651" spans="2:6" ht="15" customHeight="1" x14ac:dyDescent="0.35">
      <c r="C651" s="22" t="s">
        <v>17</v>
      </c>
      <c r="D651" s="23" t="s">
        <v>1161</v>
      </c>
      <c r="E651" s="53"/>
      <c r="F651" s="53"/>
    </row>
    <row r="652" spans="2:6" x14ac:dyDescent="0.35">
      <c r="C652" s="22" t="s">
        <v>1</v>
      </c>
      <c r="D652" s="23" t="s">
        <v>4</v>
      </c>
      <c r="E652" s="24"/>
      <c r="F652" s="24"/>
    </row>
    <row r="653" spans="2:6" ht="29" x14ac:dyDescent="0.35">
      <c r="B653" s="25" t="s">
        <v>144</v>
      </c>
      <c r="C653" s="25" t="s">
        <v>145</v>
      </c>
      <c r="D653" s="25" t="s">
        <v>146</v>
      </c>
      <c r="E653" s="26" t="s">
        <v>1298</v>
      </c>
      <c r="F653" s="39">
        <v>2</v>
      </c>
    </row>
    <row r="654" spans="2:6" x14ac:dyDescent="0.35">
      <c r="B654" s="27">
        <v>1</v>
      </c>
      <c r="C654" s="27" t="s">
        <v>1162</v>
      </c>
      <c r="D654" s="27" t="s">
        <v>1163</v>
      </c>
      <c r="E654" s="33">
        <v>6</v>
      </c>
      <c r="F654" s="33">
        <v>2</v>
      </c>
    </row>
    <row r="655" spans="2:6" x14ac:dyDescent="0.35">
      <c r="B655" s="28">
        <v>2</v>
      </c>
      <c r="C655" s="28" t="s">
        <v>1164</v>
      </c>
      <c r="D655" s="28" t="s">
        <v>1165</v>
      </c>
      <c r="E655" s="33">
        <v>6</v>
      </c>
      <c r="F655" s="33">
        <v>2</v>
      </c>
    </row>
    <row r="656" spans="2:6" x14ac:dyDescent="0.35">
      <c r="B656" s="27">
        <v>3</v>
      </c>
      <c r="C656" s="27" t="s">
        <v>1166</v>
      </c>
      <c r="D656" s="27" t="s">
        <v>1167</v>
      </c>
      <c r="E656" s="33">
        <v>6</v>
      </c>
      <c r="F656" s="33">
        <v>2</v>
      </c>
    </row>
    <row r="657" spans="2:6" x14ac:dyDescent="0.35">
      <c r="B657" s="28">
        <v>4</v>
      </c>
      <c r="C657" s="28" t="s">
        <v>1168</v>
      </c>
      <c r="D657" s="28" t="s">
        <v>1169</v>
      </c>
      <c r="E657" s="33">
        <v>6</v>
      </c>
      <c r="F657" s="33">
        <v>2</v>
      </c>
    </row>
    <row r="658" spans="2:6" x14ac:dyDescent="0.35">
      <c r="B658" s="27">
        <v>5</v>
      </c>
      <c r="C658" s="27" t="s">
        <v>1170</v>
      </c>
      <c r="D658" s="27" t="s">
        <v>1171</v>
      </c>
      <c r="E658" s="33">
        <v>6</v>
      </c>
      <c r="F658" s="33">
        <v>2</v>
      </c>
    </row>
    <row r="659" spans="2:6" x14ac:dyDescent="0.35">
      <c r="B659" s="28">
        <v>6</v>
      </c>
      <c r="C659" s="28" t="s">
        <v>1172</v>
      </c>
      <c r="D659" s="28" t="s">
        <v>1173</v>
      </c>
      <c r="E659" s="33">
        <v>6</v>
      </c>
      <c r="F659" s="33">
        <v>2</v>
      </c>
    </row>
    <row r="660" spans="2:6" x14ac:dyDescent="0.35">
      <c r="B660" s="27">
        <v>7</v>
      </c>
      <c r="C660" s="27" t="s">
        <v>1174</v>
      </c>
      <c r="D660" s="27" t="s">
        <v>1175</v>
      </c>
      <c r="E660" s="33">
        <v>0</v>
      </c>
      <c r="F660" s="33">
        <v>2</v>
      </c>
    </row>
    <row r="661" spans="2:6" x14ac:dyDescent="0.35">
      <c r="B661" s="28">
        <v>8</v>
      </c>
      <c r="C661" s="28" t="s">
        <v>1176</v>
      </c>
      <c r="D661" s="28" t="s">
        <v>1177</v>
      </c>
      <c r="E661" s="33">
        <v>6</v>
      </c>
      <c r="F661" s="33">
        <v>2</v>
      </c>
    </row>
    <row r="662" spans="2:6" x14ac:dyDescent="0.35">
      <c r="B662" s="27">
        <v>9</v>
      </c>
      <c r="C662" s="27" t="s">
        <v>1178</v>
      </c>
      <c r="D662" s="27" t="s">
        <v>1179</v>
      </c>
      <c r="E662" s="33">
        <v>6</v>
      </c>
      <c r="F662" s="33">
        <v>2</v>
      </c>
    </row>
    <row r="663" spans="2:6" x14ac:dyDescent="0.35">
      <c r="B663" s="28">
        <v>10</v>
      </c>
      <c r="C663" s="28" t="s">
        <v>1180</v>
      </c>
      <c r="D663" s="28" t="s">
        <v>1181</v>
      </c>
      <c r="E663" s="33">
        <v>6</v>
      </c>
      <c r="F663" s="33">
        <v>2</v>
      </c>
    </row>
    <row r="664" spans="2:6" x14ac:dyDescent="0.35">
      <c r="B664" s="27">
        <v>11</v>
      </c>
      <c r="C664" s="27" t="s">
        <v>1182</v>
      </c>
      <c r="D664" s="27" t="s">
        <v>1183</v>
      </c>
      <c r="E664" s="33">
        <v>6</v>
      </c>
      <c r="F664" s="33">
        <v>2</v>
      </c>
    </row>
    <row r="665" spans="2:6" x14ac:dyDescent="0.35">
      <c r="B665" s="28">
        <v>12</v>
      </c>
      <c r="C665" s="28" t="s">
        <v>1184</v>
      </c>
      <c r="D665" s="28" t="s">
        <v>1185</v>
      </c>
      <c r="E665" s="33">
        <v>6</v>
      </c>
      <c r="F665" s="33">
        <v>2</v>
      </c>
    </row>
    <row r="666" spans="2:6" x14ac:dyDescent="0.35">
      <c r="B666" s="27">
        <v>13</v>
      </c>
      <c r="C666" s="27" t="s">
        <v>1186</v>
      </c>
      <c r="D666" s="27" t="s">
        <v>1187</v>
      </c>
      <c r="E666" s="33">
        <v>6</v>
      </c>
      <c r="F666" s="33">
        <v>2</v>
      </c>
    </row>
    <row r="667" spans="2:6" x14ac:dyDescent="0.35">
      <c r="B667" s="28">
        <v>14</v>
      </c>
      <c r="C667" s="28" t="s">
        <v>1188</v>
      </c>
      <c r="D667" s="28" t="s">
        <v>1189</v>
      </c>
      <c r="E667" s="33">
        <v>6</v>
      </c>
      <c r="F667" s="33">
        <v>2</v>
      </c>
    </row>
    <row r="668" spans="2:6" x14ac:dyDescent="0.35">
      <c r="B668" s="27">
        <v>15</v>
      </c>
      <c r="C668" s="27" t="s">
        <v>1190</v>
      </c>
      <c r="D668" s="27" t="s">
        <v>1191</v>
      </c>
      <c r="E668" s="33">
        <v>6</v>
      </c>
      <c r="F668" s="33">
        <v>2</v>
      </c>
    </row>
    <row r="669" spans="2:6" x14ac:dyDescent="0.35">
      <c r="B669" s="28">
        <v>16</v>
      </c>
      <c r="C669" s="28" t="s">
        <v>1192</v>
      </c>
      <c r="D669" s="28" t="s">
        <v>1193</v>
      </c>
      <c r="E669" s="33">
        <v>6</v>
      </c>
      <c r="F669" s="33">
        <v>2</v>
      </c>
    </row>
    <row r="670" spans="2:6" x14ac:dyDescent="0.35">
      <c r="B670" s="27">
        <v>17</v>
      </c>
      <c r="C670" s="27" t="s">
        <v>1194</v>
      </c>
      <c r="D670" s="27" t="s">
        <v>1195</v>
      </c>
      <c r="E670" s="33">
        <v>6</v>
      </c>
      <c r="F670" s="33">
        <v>2</v>
      </c>
    </row>
    <row r="671" spans="2:6" x14ac:dyDescent="0.35">
      <c r="B671" s="28">
        <v>18</v>
      </c>
      <c r="C671" s="28" t="s">
        <v>1196</v>
      </c>
      <c r="D671" s="28" t="s">
        <v>1197</v>
      </c>
      <c r="E671" s="33">
        <v>6</v>
      </c>
      <c r="F671" s="33">
        <v>2</v>
      </c>
    </row>
    <row r="672" spans="2:6" x14ac:dyDescent="0.35">
      <c r="B672" s="27">
        <v>19</v>
      </c>
      <c r="C672" s="27" t="s">
        <v>1198</v>
      </c>
      <c r="D672" s="27" t="s">
        <v>1199</v>
      </c>
      <c r="E672" s="33">
        <v>6</v>
      </c>
      <c r="F672" s="33">
        <v>2</v>
      </c>
    </row>
    <row r="673" spans="2:6" x14ac:dyDescent="0.35">
      <c r="B673" s="28">
        <v>20</v>
      </c>
      <c r="C673" s="28" t="s">
        <v>1200</v>
      </c>
      <c r="D673" s="28" t="s">
        <v>1201</v>
      </c>
      <c r="E673" s="33">
        <v>6</v>
      </c>
      <c r="F673" s="33">
        <v>2</v>
      </c>
    </row>
    <row r="674" spans="2:6" x14ac:dyDescent="0.35">
      <c r="B674" s="27">
        <v>21</v>
      </c>
      <c r="C674" s="27" t="s">
        <v>1202</v>
      </c>
      <c r="D674" s="27" t="s">
        <v>1203</v>
      </c>
      <c r="E674" s="33">
        <v>6</v>
      </c>
      <c r="F674" s="33">
        <v>2</v>
      </c>
    </row>
    <row r="675" spans="2:6" x14ac:dyDescent="0.35">
      <c r="B675" s="28">
        <v>22</v>
      </c>
      <c r="C675" s="28" t="s">
        <v>1204</v>
      </c>
      <c r="D675" s="28" t="s">
        <v>1205</v>
      </c>
      <c r="E675" s="33">
        <v>6</v>
      </c>
      <c r="F675" s="33">
        <v>2</v>
      </c>
    </row>
    <row r="676" spans="2:6" x14ac:dyDescent="0.35">
      <c r="B676" s="27">
        <v>23</v>
      </c>
      <c r="C676" s="27" t="s">
        <v>1206</v>
      </c>
      <c r="D676" s="27" t="s">
        <v>1207</v>
      </c>
      <c r="E676" s="33">
        <v>6</v>
      </c>
      <c r="F676" s="33">
        <v>2</v>
      </c>
    </row>
    <row r="677" spans="2:6" x14ac:dyDescent="0.35">
      <c r="B677" s="28">
        <v>24</v>
      </c>
      <c r="C677" s="28" t="s">
        <v>1208</v>
      </c>
      <c r="D677" s="28" t="s">
        <v>1209</v>
      </c>
      <c r="E677" s="33">
        <v>6</v>
      </c>
      <c r="F677" s="33">
        <v>2</v>
      </c>
    </row>
    <row r="678" spans="2:6" x14ac:dyDescent="0.35">
      <c r="B678" s="27">
        <v>25</v>
      </c>
      <c r="C678" s="27" t="s">
        <v>1210</v>
      </c>
      <c r="D678" s="27" t="s">
        <v>1211</v>
      </c>
      <c r="E678" s="33">
        <v>6</v>
      </c>
      <c r="F678" s="33">
        <v>2</v>
      </c>
    </row>
    <row r="679" spans="2:6" x14ac:dyDescent="0.35">
      <c r="B679" s="28">
        <v>26</v>
      </c>
      <c r="C679" s="28" t="s">
        <v>1212</v>
      </c>
      <c r="D679" s="28" t="s">
        <v>1213</v>
      </c>
      <c r="E679" s="33">
        <v>6</v>
      </c>
      <c r="F679" s="33">
        <v>2</v>
      </c>
    </row>
    <row r="680" spans="2:6" x14ac:dyDescent="0.35">
      <c r="B680" s="27">
        <v>27</v>
      </c>
      <c r="C680" s="27" t="s">
        <v>1214</v>
      </c>
      <c r="D680" s="27" t="s">
        <v>1215</v>
      </c>
      <c r="E680" s="33">
        <v>6</v>
      </c>
      <c r="F680" s="33">
        <v>2</v>
      </c>
    </row>
    <row r="681" spans="2:6" x14ac:dyDescent="0.35">
      <c r="B681" s="28">
        <v>28</v>
      </c>
      <c r="C681" s="28" t="s">
        <v>1216</v>
      </c>
      <c r="D681" s="28" t="s">
        <v>1217</v>
      </c>
      <c r="E681" s="33">
        <v>6</v>
      </c>
      <c r="F681" s="33">
        <v>2</v>
      </c>
    </row>
    <row r="682" spans="2:6" x14ac:dyDescent="0.35">
      <c r="B682" s="27">
        <v>29</v>
      </c>
      <c r="C682" s="27" t="s">
        <v>1218</v>
      </c>
      <c r="D682" s="27" t="s">
        <v>1219</v>
      </c>
      <c r="E682" s="33">
        <v>6</v>
      </c>
      <c r="F682" s="33">
        <v>2</v>
      </c>
    </row>
    <row r="683" spans="2:6" x14ac:dyDescent="0.35">
      <c r="B683" s="28">
        <v>30</v>
      </c>
      <c r="C683" s="28" t="s">
        <v>1220</v>
      </c>
      <c r="D683" s="28" t="s">
        <v>1221</v>
      </c>
      <c r="E683" s="33">
        <v>6</v>
      </c>
      <c r="F683" s="33">
        <v>2</v>
      </c>
    </row>
    <row r="684" spans="2:6" x14ac:dyDescent="0.35">
      <c r="B684" s="27">
        <v>31</v>
      </c>
      <c r="C684" s="27" t="s">
        <v>1222</v>
      </c>
      <c r="D684" s="27" t="s">
        <v>1223</v>
      </c>
      <c r="E684" s="33">
        <v>6</v>
      </c>
      <c r="F684" s="33">
        <v>2</v>
      </c>
    </row>
    <row r="685" spans="2:6" x14ac:dyDescent="0.35">
      <c r="B685" s="28">
        <v>32</v>
      </c>
      <c r="C685" s="28" t="s">
        <v>1224</v>
      </c>
      <c r="D685" s="28" t="s">
        <v>1225</v>
      </c>
      <c r="E685" s="33">
        <v>6</v>
      </c>
      <c r="F685" s="33">
        <v>2</v>
      </c>
    </row>
    <row r="686" spans="2:6" x14ac:dyDescent="0.35">
      <c r="B686" s="27">
        <v>33</v>
      </c>
      <c r="C686" s="27" t="s">
        <v>1226</v>
      </c>
      <c r="D686" s="27" t="s">
        <v>1227</v>
      </c>
      <c r="E686" s="33">
        <v>6</v>
      </c>
      <c r="F686" s="33">
        <v>2</v>
      </c>
    </row>
    <row r="687" spans="2:6" x14ac:dyDescent="0.35">
      <c r="B687" s="28">
        <v>34</v>
      </c>
      <c r="C687" s="28" t="s">
        <v>1228</v>
      </c>
      <c r="D687" s="28" t="s">
        <v>1229</v>
      </c>
      <c r="E687" s="33">
        <v>6</v>
      </c>
      <c r="F687" s="33">
        <v>2</v>
      </c>
    </row>
    <row r="688" spans="2:6" x14ac:dyDescent="0.35">
      <c r="B688" s="27">
        <v>35</v>
      </c>
      <c r="C688" s="27" t="s">
        <v>1230</v>
      </c>
      <c r="D688" s="27" t="s">
        <v>1231</v>
      </c>
      <c r="E688" s="33">
        <v>6</v>
      </c>
      <c r="F688" s="33">
        <v>2</v>
      </c>
    </row>
    <row r="689" spans="2:6" x14ac:dyDescent="0.35">
      <c r="B689" s="28">
        <v>36</v>
      </c>
      <c r="C689" s="28" t="s">
        <v>1232</v>
      </c>
      <c r="D689" s="28" t="s">
        <v>1233</v>
      </c>
      <c r="E689" s="33">
        <v>6</v>
      </c>
      <c r="F689" s="33">
        <v>2</v>
      </c>
    </row>
    <row r="690" spans="2:6" x14ac:dyDescent="0.35">
      <c r="B690"/>
      <c r="E690" s="8">
        <f>SUM(E654:E689)</f>
        <v>210</v>
      </c>
      <c r="F690" s="8">
        <f>SUM(F654:F689)</f>
        <v>72</v>
      </c>
    </row>
    <row r="691" spans="2:6" ht="17.149999999999999" customHeight="1" x14ac:dyDescent="0.35">
      <c r="B691"/>
      <c r="D691" s="35" t="s">
        <v>1319</v>
      </c>
      <c r="E691" s="45">
        <f>SUM(E690+F690)</f>
        <v>282</v>
      </c>
      <c r="F691" s="29"/>
    </row>
    <row r="692" spans="2:6" ht="17.149999999999999" customHeight="1" x14ac:dyDescent="0.35">
      <c r="B692"/>
      <c r="D692" s="29"/>
      <c r="E692" s="29"/>
      <c r="F692" s="29"/>
    </row>
    <row r="693" spans="2:6" ht="17.149999999999999" customHeight="1" x14ac:dyDescent="0.35">
      <c r="B693"/>
      <c r="D693" s="29"/>
      <c r="E693" s="29"/>
      <c r="F693" s="29"/>
    </row>
    <row r="694" spans="2:6" ht="15" customHeight="1" x14ac:dyDescent="0.35">
      <c r="C694" s="22" t="s">
        <v>137</v>
      </c>
      <c r="D694" s="23" t="s">
        <v>138</v>
      </c>
    </row>
    <row r="695" spans="2:6" ht="15" customHeight="1" x14ac:dyDescent="0.35">
      <c r="C695" s="22" t="s">
        <v>139</v>
      </c>
      <c r="D695" s="23" t="s">
        <v>140</v>
      </c>
    </row>
    <row r="696" spans="2:6" ht="21" customHeight="1" x14ac:dyDescent="0.35">
      <c r="C696" s="22" t="s">
        <v>141</v>
      </c>
      <c r="D696" s="23" t="s">
        <v>142</v>
      </c>
      <c r="E696" s="53" t="s">
        <v>1296</v>
      </c>
      <c r="F696" s="53"/>
    </row>
    <row r="697" spans="2:6" ht="21" customHeight="1" x14ac:dyDescent="0.35">
      <c r="C697" s="22" t="s">
        <v>17</v>
      </c>
      <c r="D697" s="23" t="s">
        <v>1161</v>
      </c>
      <c r="E697" s="53"/>
      <c r="F697" s="53"/>
    </row>
    <row r="698" spans="2:6" x14ac:dyDescent="0.35">
      <c r="C698" s="22" t="s">
        <v>1</v>
      </c>
      <c r="D698" s="23" t="s">
        <v>5</v>
      </c>
      <c r="E698" s="24"/>
      <c r="F698" s="24"/>
    </row>
    <row r="699" spans="2:6" ht="29" x14ac:dyDescent="0.35">
      <c r="B699" s="25" t="s">
        <v>144</v>
      </c>
      <c r="C699" s="25" t="s">
        <v>145</v>
      </c>
      <c r="D699" s="25" t="s">
        <v>146</v>
      </c>
      <c r="E699" s="26" t="s">
        <v>1298</v>
      </c>
      <c r="F699" s="39">
        <v>2</v>
      </c>
    </row>
    <row r="700" spans="2:6" x14ac:dyDescent="0.35">
      <c r="B700" s="27">
        <v>1</v>
      </c>
      <c r="C700" s="27" t="s">
        <v>1234</v>
      </c>
      <c r="D700" s="27" t="s">
        <v>1235</v>
      </c>
      <c r="E700" s="33">
        <v>6</v>
      </c>
      <c r="F700" s="33">
        <v>2</v>
      </c>
    </row>
    <row r="701" spans="2:6" x14ac:dyDescent="0.35">
      <c r="B701" s="27">
        <v>2</v>
      </c>
      <c r="C701" s="28" t="s">
        <v>1236</v>
      </c>
      <c r="D701" s="28" t="s">
        <v>1237</v>
      </c>
      <c r="E701" s="33">
        <v>6</v>
      </c>
      <c r="F701" s="33">
        <v>2</v>
      </c>
    </row>
    <row r="702" spans="2:6" x14ac:dyDescent="0.35">
      <c r="B702" s="27">
        <v>3</v>
      </c>
      <c r="C702" s="27" t="s">
        <v>1238</v>
      </c>
      <c r="D702" s="27" t="s">
        <v>1239</v>
      </c>
      <c r="E702" s="33">
        <v>6</v>
      </c>
      <c r="F702" s="33">
        <v>2</v>
      </c>
    </row>
    <row r="703" spans="2:6" x14ac:dyDescent="0.35">
      <c r="B703" s="27">
        <v>4</v>
      </c>
      <c r="C703" s="28" t="s">
        <v>1240</v>
      </c>
      <c r="D703" s="28" t="s">
        <v>1241</v>
      </c>
      <c r="E703" s="33">
        <v>6</v>
      </c>
      <c r="F703" s="33">
        <v>2</v>
      </c>
    </row>
    <row r="704" spans="2:6" x14ac:dyDescent="0.35">
      <c r="B704" s="27">
        <v>5</v>
      </c>
      <c r="C704" s="27" t="s">
        <v>1242</v>
      </c>
      <c r="D704" s="27" t="s">
        <v>1243</v>
      </c>
      <c r="E704" s="33">
        <v>6</v>
      </c>
      <c r="F704" s="33">
        <v>2</v>
      </c>
    </row>
    <row r="705" spans="2:6" x14ac:dyDescent="0.35">
      <c r="B705" s="27">
        <v>6</v>
      </c>
      <c r="C705" s="28" t="s">
        <v>1244</v>
      </c>
      <c r="D705" s="28" t="s">
        <v>1245</v>
      </c>
      <c r="E705" s="33">
        <v>6</v>
      </c>
      <c r="F705" s="33">
        <v>2</v>
      </c>
    </row>
    <row r="706" spans="2:6" x14ac:dyDescent="0.35">
      <c r="B706" s="27">
        <v>7</v>
      </c>
      <c r="C706" s="27" t="s">
        <v>1246</v>
      </c>
      <c r="D706" s="27" t="s">
        <v>1247</v>
      </c>
      <c r="E706" s="33">
        <v>6</v>
      </c>
      <c r="F706" s="33">
        <v>2</v>
      </c>
    </row>
    <row r="707" spans="2:6" x14ac:dyDescent="0.35">
      <c r="B707" s="27">
        <v>8</v>
      </c>
      <c r="C707" s="28" t="s">
        <v>1248</v>
      </c>
      <c r="D707" s="28" t="s">
        <v>1249</v>
      </c>
      <c r="E707" s="33">
        <v>6</v>
      </c>
      <c r="F707" s="33">
        <v>2</v>
      </c>
    </row>
    <row r="708" spans="2:6" x14ac:dyDescent="0.35">
      <c r="B708" s="27">
        <v>9</v>
      </c>
      <c r="C708" s="27" t="s">
        <v>1250</v>
      </c>
      <c r="D708" s="27" t="s">
        <v>1251</v>
      </c>
      <c r="E708" s="33">
        <v>6</v>
      </c>
      <c r="F708" s="33">
        <v>2</v>
      </c>
    </row>
    <row r="709" spans="2:6" x14ac:dyDescent="0.35">
      <c r="B709" s="27">
        <v>10</v>
      </c>
      <c r="C709" s="28" t="s">
        <v>1252</v>
      </c>
      <c r="D709" s="28" t="s">
        <v>1253</v>
      </c>
      <c r="E709" s="33">
        <v>6</v>
      </c>
      <c r="F709" s="33">
        <v>2</v>
      </c>
    </row>
    <row r="710" spans="2:6" x14ac:dyDescent="0.35">
      <c r="B710" s="27">
        <v>11</v>
      </c>
      <c r="C710" s="27" t="s">
        <v>1254</v>
      </c>
      <c r="D710" s="27" t="s">
        <v>1255</v>
      </c>
      <c r="E710" s="33">
        <v>6</v>
      </c>
      <c r="F710" s="33">
        <v>2</v>
      </c>
    </row>
    <row r="711" spans="2:6" x14ac:dyDescent="0.35">
      <c r="B711" s="27">
        <v>12</v>
      </c>
      <c r="C711" s="28" t="s">
        <v>1256</v>
      </c>
      <c r="D711" s="28" t="s">
        <v>1257</v>
      </c>
      <c r="E711" s="33">
        <v>6</v>
      </c>
      <c r="F711" s="33">
        <v>2</v>
      </c>
    </row>
    <row r="712" spans="2:6" x14ac:dyDescent="0.35">
      <c r="B712" s="27">
        <v>13</v>
      </c>
      <c r="C712" s="27" t="s">
        <v>1258</v>
      </c>
      <c r="D712" s="27" t="s">
        <v>1259</v>
      </c>
      <c r="E712" s="33">
        <v>6</v>
      </c>
      <c r="F712" s="33">
        <v>2</v>
      </c>
    </row>
    <row r="713" spans="2:6" x14ac:dyDescent="0.35">
      <c r="B713" s="27">
        <v>14</v>
      </c>
      <c r="C713" s="28" t="s">
        <v>1260</v>
      </c>
      <c r="D713" s="28" t="s">
        <v>1261</v>
      </c>
      <c r="E713" s="33">
        <v>6</v>
      </c>
      <c r="F713" s="33">
        <v>2</v>
      </c>
    </row>
    <row r="714" spans="2:6" x14ac:dyDescent="0.35">
      <c r="B714" s="27">
        <v>15</v>
      </c>
      <c r="C714" s="28" t="s">
        <v>1262</v>
      </c>
      <c r="D714" s="28" t="s">
        <v>1263</v>
      </c>
      <c r="E714" s="33">
        <v>6</v>
      </c>
      <c r="F714" s="33">
        <v>2</v>
      </c>
    </row>
    <row r="715" spans="2:6" x14ac:dyDescent="0.35">
      <c r="B715" s="27">
        <v>16</v>
      </c>
      <c r="C715" s="27" t="s">
        <v>1264</v>
      </c>
      <c r="D715" s="27" t="s">
        <v>1265</v>
      </c>
      <c r="E715" s="33">
        <v>6</v>
      </c>
      <c r="F715" s="33">
        <v>2</v>
      </c>
    </row>
    <row r="716" spans="2:6" x14ac:dyDescent="0.35">
      <c r="B716" s="27">
        <v>17</v>
      </c>
      <c r="C716" s="28" t="s">
        <v>1266</v>
      </c>
      <c r="D716" s="28" t="s">
        <v>1267</v>
      </c>
      <c r="E716" s="33">
        <v>6</v>
      </c>
      <c r="F716" s="33">
        <v>2</v>
      </c>
    </row>
    <row r="717" spans="2:6" x14ac:dyDescent="0.35">
      <c r="B717" s="27">
        <v>18</v>
      </c>
      <c r="C717" s="27" t="s">
        <v>1268</v>
      </c>
      <c r="D717" s="27" t="s">
        <v>1269</v>
      </c>
      <c r="E717" s="33">
        <v>6</v>
      </c>
      <c r="F717" s="33">
        <v>2</v>
      </c>
    </row>
    <row r="718" spans="2:6" x14ac:dyDescent="0.35">
      <c r="B718" s="27">
        <v>19</v>
      </c>
      <c r="C718" s="28" t="s">
        <v>1270</v>
      </c>
      <c r="D718" s="28" t="s">
        <v>1271</v>
      </c>
      <c r="E718" s="33">
        <v>6</v>
      </c>
      <c r="F718" s="33">
        <v>2</v>
      </c>
    </row>
    <row r="719" spans="2:6" x14ac:dyDescent="0.35">
      <c r="B719" s="27">
        <v>20</v>
      </c>
      <c r="C719" s="28" t="s">
        <v>1272</v>
      </c>
      <c r="D719" s="28" t="s">
        <v>1273</v>
      </c>
      <c r="E719" s="33">
        <v>6</v>
      </c>
      <c r="F719" s="33">
        <v>2</v>
      </c>
    </row>
    <row r="720" spans="2:6" x14ac:dyDescent="0.35">
      <c r="B720" s="27">
        <v>21</v>
      </c>
      <c r="C720" s="27" t="s">
        <v>1274</v>
      </c>
      <c r="D720" s="27" t="s">
        <v>1275</v>
      </c>
      <c r="E720" s="33">
        <v>6</v>
      </c>
      <c r="F720" s="33">
        <v>2</v>
      </c>
    </row>
    <row r="721" spans="2:6" x14ac:dyDescent="0.35">
      <c r="B721" s="27">
        <v>22</v>
      </c>
      <c r="C721" s="28" t="s">
        <v>1276</v>
      </c>
      <c r="D721" s="28" t="s">
        <v>1277</v>
      </c>
      <c r="E721" s="33">
        <v>0</v>
      </c>
      <c r="F721" s="33">
        <v>2</v>
      </c>
    </row>
    <row r="722" spans="2:6" x14ac:dyDescent="0.35">
      <c r="B722" s="27">
        <v>23</v>
      </c>
      <c r="C722" s="27" t="s">
        <v>1278</v>
      </c>
      <c r="D722" s="27" t="s">
        <v>1279</v>
      </c>
      <c r="E722" s="33">
        <v>6</v>
      </c>
      <c r="F722" s="33">
        <v>2</v>
      </c>
    </row>
    <row r="723" spans="2:6" x14ac:dyDescent="0.35">
      <c r="B723" s="27">
        <v>24</v>
      </c>
      <c r="C723" s="28" t="s">
        <v>1280</v>
      </c>
      <c r="D723" s="28" t="s">
        <v>1281</v>
      </c>
      <c r="E723" s="33">
        <v>6</v>
      </c>
      <c r="F723" s="33">
        <v>2</v>
      </c>
    </row>
    <row r="724" spans="2:6" x14ac:dyDescent="0.35">
      <c r="B724" s="27">
        <v>25</v>
      </c>
      <c r="C724" s="27" t="s">
        <v>1282</v>
      </c>
      <c r="D724" s="27" t="s">
        <v>1283</v>
      </c>
      <c r="E724" s="33">
        <v>6</v>
      </c>
      <c r="F724" s="33">
        <v>2</v>
      </c>
    </row>
    <row r="725" spans="2:6" x14ac:dyDescent="0.35">
      <c r="B725" s="27">
        <v>26</v>
      </c>
      <c r="C725" s="28" t="s">
        <v>1284</v>
      </c>
      <c r="D725" s="28" t="s">
        <v>1285</v>
      </c>
      <c r="E725" s="33">
        <v>6</v>
      </c>
      <c r="F725" s="33">
        <v>2</v>
      </c>
    </row>
    <row r="726" spans="2:6" x14ac:dyDescent="0.35">
      <c r="B726" s="27">
        <v>27</v>
      </c>
      <c r="C726" s="27" t="s">
        <v>1286</v>
      </c>
      <c r="D726" s="27" t="s">
        <v>1287</v>
      </c>
      <c r="E726" s="33">
        <v>6</v>
      </c>
      <c r="F726" s="33">
        <v>2</v>
      </c>
    </row>
    <row r="727" spans="2:6" x14ac:dyDescent="0.35">
      <c r="B727" s="27">
        <v>28</v>
      </c>
      <c r="C727" s="28" t="s">
        <v>1288</v>
      </c>
      <c r="D727" s="28" t="s">
        <v>1289</v>
      </c>
      <c r="E727" s="33">
        <v>6</v>
      </c>
      <c r="F727" s="33">
        <v>2</v>
      </c>
    </row>
    <row r="728" spans="2:6" x14ac:dyDescent="0.35">
      <c r="B728" s="27">
        <v>29</v>
      </c>
      <c r="C728" s="27" t="s">
        <v>1290</v>
      </c>
      <c r="D728" s="27" t="s">
        <v>1291</v>
      </c>
      <c r="E728" s="33">
        <v>6</v>
      </c>
      <c r="F728" s="33">
        <v>2</v>
      </c>
    </row>
    <row r="729" spans="2:6" x14ac:dyDescent="0.35">
      <c r="B729" s="27">
        <v>30</v>
      </c>
      <c r="C729" s="28" t="s">
        <v>1292</v>
      </c>
      <c r="D729" s="28" t="s">
        <v>1293</v>
      </c>
      <c r="E729" s="33">
        <v>6</v>
      </c>
      <c r="F729" s="33">
        <v>2</v>
      </c>
    </row>
    <row r="730" spans="2:6" x14ac:dyDescent="0.35">
      <c r="B730" s="27">
        <v>31</v>
      </c>
      <c r="C730" s="27" t="s">
        <v>1294</v>
      </c>
      <c r="D730" s="27" t="s">
        <v>1295</v>
      </c>
      <c r="E730" s="33">
        <v>6</v>
      </c>
      <c r="F730" s="33">
        <v>2</v>
      </c>
    </row>
    <row r="731" spans="2:6" x14ac:dyDescent="0.35">
      <c r="B731"/>
      <c r="E731" s="8">
        <f>SUM(E700:E730)</f>
        <v>180</v>
      </c>
      <c r="F731" s="8">
        <f>SUM(F700:F730)</f>
        <v>62</v>
      </c>
    </row>
    <row r="732" spans="2:6" ht="17.149999999999999" customHeight="1" x14ac:dyDescent="0.35">
      <c r="B732"/>
      <c r="D732" s="35" t="s">
        <v>1302</v>
      </c>
      <c r="E732" s="34">
        <f>SUM(E731+F731)</f>
        <v>242</v>
      </c>
      <c r="F732" s="29"/>
    </row>
    <row r="733" spans="2:6" ht="17.149999999999999" customHeight="1" x14ac:dyDescent="0.35">
      <c r="D733" s="29"/>
      <c r="E733" s="29"/>
      <c r="F733" s="29"/>
    </row>
    <row r="734" spans="2:6" ht="17.149999999999999" customHeight="1" x14ac:dyDescent="0.35">
      <c r="D734" s="29"/>
      <c r="E734" s="29"/>
      <c r="F734" s="29"/>
    </row>
    <row r="735" spans="2:6" ht="17.149999999999999" customHeight="1" x14ac:dyDescent="0.35">
      <c r="D735" s="29"/>
      <c r="E735" s="29"/>
      <c r="F735" s="29"/>
    </row>
    <row r="736" spans="2:6" ht="17.149999999999999" customHeight="1" x14ac:dyDescent="0.35">
      <c r="D736" s="29"/>
      <c r="E736" s="29"/>
      <c r="F736" s="29"/>
    </row>
    <row r="737" spans="4:6" ht="17.149999999999999" customHeight="1" x14ac:dyDescent="0.35">
      <c r="D737" s="29"/>
      <c r="E737" s="29"/>
      <c r="F737" s="29"/>
    </row>
  </sheetData>
  <mergeCells count="16">
    <mergeCell ref="E237:F238"/>
    <mergeCell ref="E287:F288"/>
    <mergeCell ref="E3:F4"/>
    <mergeCell ref="E44:F45"/>
    <mergeCell ref="E93:F94"/>
    <mergeCell ref="E140:F141"/>
    <mergeCell ref="E189:F190"/>
    <mergeCell ref="E650:F651"/>
    <mergeCell ref="E696:F697"/>
    <mergeCell ref="E337:F338"/>
    <mergeCell ref="E380:F381"/>
    <mergeCell ref="E429:F430"/>
    <mergeCell ref="E470:F471"/>
    <mergeCell ref="E509:F510"/>
    <mergeCell ref="E603:F604"/>
    <mergeCell ref="E559:F560"/>
  </mergeCells>
  <pageMargins left="0.70866141732283472" right="0.11811023622047245" top="0.35433070866141736" bottom="0.15748031496062992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"/>
  <sheetViews>
    <sheetView tabSelected="1" topLeftCell="A77" zoomScale="99" workbookViewId="0">
      <selection activeCell="H134" sqref="H134"/>
    </sheetView>
  </sheetViews>
  <sheetFormatPr baseColWidth="10" defaultRowHeight="14.5" x14ac:dyDescent="0.35"/>
  <cols>
    <col min="1" max="1" width="4.36328125" customWidth="1"/>
    <col min="2" max="2" width="35.81640625" customWidth="1"/>
    <col min="5" max="5" width="19.7265625" customWidth="1"/>
    <col min="6" max="6" width="21.81640625" customWidth="1"/>
  </cols>
  <sheetData>
    <row r="1" spans="1:10" ht="14.5" customHeight="1" x14ac:dyDescent="0.35">
      <c r="A1" s="50" t="s">
        <v>0</v>
      </c>
      <c r="B1" s="50"/>
      <c r="C1" s="50"/>
      <c r="D1" s="50"/>
      <c r="E1" s="50"/>
      <c r="F1" s="5"/>
      <c r="G1" s="5"/>
      <c r="H1" s="5"/>
      <c r="I1" s="5"/>
      <c r="J1" s="5"/>
    </row>
    <row r="2" spans="1:10" ht="14.5" customHeight="1" x14ac:dyDescent="0.35">
      <c r="A2" s="50"/>
      <c r="B2" s="50"/>
      <c r="C2" s="50"/>
      <c r="D2" s="50"/>
      <c r="E2" s="50"/>
      <c r="F2" s="5"/>
      <c r="G2" s="5"/>
      <c r="H2" s="5"/>
      <c r="I2" s="5"/>
      <c r="J2" s="5"/>
    </row>
    <row r="3" spans="1:10" x14ac:dyDescent="0.35">
      <c r="A3" s="54" t="s">
        <v>18</v>
      </c>
      <c r="B3" s="54"/>
      <c r="C3" s="54"/>
      <c r="D3" s="54"/>
      <c r="E3" s="54"/>
      <c r="F3" s="54"/>
      <c r="G3" s="54"/>
    </row>
    <row r="4" spans="1:10" x14ac:dyDescent="0.35">
      <c r="A4" s="3"/>
      <c r="B4" s="4" t="s">
        <v>16</v>
      </c>
      <c r="C4" s="4" t="s">
        <v>17</v>
      </c>
      <c r="D4" s="4" t="s">
        <v>1</v>
      </c>
      <c r="E4" s="4" t="s">
        <v>2</v>
      </c>
      <c r="F4" s="7" t="s">
        <v>129</v>
      </c>
    </row>
    <row r="5" spans="1:10" x14ac:dyDescent="0.35">
      <c r="A5" s="3">
        <v>1</v>
      </c>
      <c r="B5" s="3" t="s">
        <v>127</v>
      </c>
      <c r="C5" s="3" t="s">
        <v>31</v>
      </c>
      <c r="D5" s="3" t="s">
        <v>128</v>
      </c>
      <c r="E5" s="3" t="s">
        <v>15</v>
      </c>
      <c r="F5" s="3"/>
    </row>
    <row r="6" spans="1:10" x14ac:dyDescent="0.35">
      <c r="A6" s="3">
        <v>2</v>
      </c>
      <c r="B6" s="3" t="s">
        <v>19</v>
      </c>
      <c r="C6" s="3" t="s">
        <v>21</v>
      </c>
      <c r="D6" s="3" t="s">
        <v>5</v>
      </c>
      <c r="E6" s="3" t="s">
        <v>15</v>
      </c>
      <c r="F6" s="3"/>
    </row>
    <row r="7" spans="1:10" x14ac:dyDescent="0.35">
      <c r="A7" s="3">
        <v>3</v>
      </c>
      <c r="B7" s="3" t="s">
        <v>20</v>
      </c>
      <c r="C7" s="3" t="s">
        <v>21</v>
      </c>
      <c r="D7" s="3" t="s">
        <v>5</v>
      </c>
      <c r="E7" s="3" t="s">
        <v>15</v>
      </c>
      <c r="F7" s="3"/>
    </row>
    <row r="8" spans="1:10" x14ac:dyDescent="0.35">
      <c r="A8" s="3">
        <v>4</v>
      </c>
      <c r="B8" s="3" t="s">
        <v>22</v>
      </c>
      <c r="C8" s="3" t="s">
        <v>31</v>
      </c>
      <c r="D8" s="3" t="s">
        <v>5</v>
      </c>
      <c r="E8" s="3" t="s">
        <v>32</v>
      </c>
      <c r="F8" s="3"/>
    </row>
    <row r="9" spans="1:10" x14ac:dyDescent="0.35">
      <c r="A9" s="3">
        <v>5</v>
      </c>
      <c r="B9" s="3" t="s">
        <v>23</v>
      </c>
      <c r="C9" s="3" t="s">
        <v>31</v>
      </c>
      <c r="D9" s="3" t="s">
        <v>5</v>
      </c>
      <c r="E9" s="3" t="s">
        <v>32</v>
      </c>
      <c r="F9" s="3"/>
    </row>
    <row r="10" spans="1:10" x14ac:dyDescent="0.35">
      <c r="A10" s="3">
        <v>6</v>
      </c>
      <c r="B10" s="3" t="s">
        <v>24</v>
      </c>
      <c r="C10" s="3" t="s">
        <v>31</v>
      </c>
      <c r="D10" s="3" t="s">
        <v>5</v>
      </c>
      <c r="E10" s="3" t="s">
        <v>32</v>
      </c>
      <c r="F10" s="3"/>
    </row>
    <row r="11" spans="1:10" x14ac:dyDescent="0.35">
      <c r="A11" s="3">
        <v>7</v>
      </c>
      <c r="B11" s="3" t="s">
        <v>25</v>
      </c>
      <c r="C11" s="3" t="s">
        <v>31</v>
      </c>
      <c r="D11" s="3" t="s">
        <v>5</v>
      </c>
      <c r="E11" s="3" t="s">
        <v>32</v>
      </c>
      <c r="F11" s="3"/>
    </row>
    <row r="12" spans="1:10" x14ac:dyDescent="0.35">
      <c r="A12" s="3">
        <v>8</v>
      </c>
      <c r="B12" s="3" t="s">
        <v>26</v>
      </c>
      <c r="C12" s="3" t="s">
        <v>31</v>
      </c>
      <c r="D12" s="3" t="s">
        <v>5</v>
      </c>
      <c r="E12" s="3" t="s">
        <v>32</v>
      </c>
      <c r="F12" s="3"/>
    </row>
    <row r="13" spans="1:10" x14ac:dyDescent="0.35">
      <c r="A13" s="3">
        <v>9</v>
      </c>
      <c r="B13" s="3" t="s">
        <v>27</v>
      </c>
      <c r="C13" s="3" t="s">
        <v>31</v>
      </c>
      <c r="D13" s="3" t="s">
        <v>5</v>
      </c>
      <c r="E13" s="3" t="s">
        <v>32</v>
      </c>
      <c r="F13" s="3"/>
    </row>
    <row r="14" spans="1:10" x14ac:dyDescent="0.35">
      <c r="A14" s="3">
        <v>10</v>
      </c>
      <c r="B14" s="3" t="s">
        <v>28</v>
      </c>
      <c r="C14" s="3" t="s">
        <v>31</v>
      </c>
      <c r="D14" s="3" t="s">
        <v>5</v>
      </c>
      <c r="E14" s="3" t="s">
        <v>32</v>
      </c>
      <c r="F14" s="3"/>
    </row>
    <row r="15" spans="1:10" x14ac:dyDescent="0.35">
      <c r="A15" s="3">
        <v>11</v>
      </c>
      <c r="B15" s="3" t="s">
        <v>29</v>
      </c>
      <c r="C15" s="3" t="s">
        <v>31</v>
      </c>
      <c r="D15" s="3" t="s">
        <v>5</v>
      </c>
      <c r="E15" s="3" t="s">
        <v>32</v>
      </c>
      <c r="F15" s="3"/>
    </row>
    <row r="16" spans="1:10" x14ac:dyDescent="0.35">
      <c r="A16" s="3">
        <v>12</v>
      </c>
      <c r="B16" s="3" t="s">
        <v>30</v>
      </c>
      <c r="C16" s="3" t="s">
        <v>31</v>
      </c>
      <c r="D16" s="3" t="s">
        <v>5</v>
      </c>
      <c r="E16" s="3" t="s">
        <v>32</v>
      </c>
      <c r="F16" s="3"/>
    </row>
    <row r="17" spans="1:6" x14ac:dyDescent="0.35">
      <c r="A17" s="3">
        <v>13</v>
      </c>
      <c r="B17" s="3" t="s">
        <v>34</v>
      </c>
      <c r="C17" s="3" t="s">
        <v>31</v>
      </c>
      <c r="D17" s="3" t="s">
        <v>13</v>
      </c>
      <c r="E17" s="3" t="s">
        <v>15</v>
      </c>
      <c r="F17" s="3"/>
    </row>
    <row r="18" spans="1:6" x14ac:dyDescent="0.35">
      <c r="A18" s="3">
        <v>14</v>
      </c>
      <c r="B18" s="3" t="s">
        <v>36</v>
      </c>
      <c r="C18" s="3" t="s">
        <v>31</v>
      </c>
      <c r="D18" s="3" t="s">
        <v>13</v>
      </c>
      <c r="E18" s="3" t="s">
        <v>15</v>
      </c>
      <c r="F18" s="3"/>
    </row>
    <row r="19" spans="1:6" x14ac:dyDescent="0.35">
      <c r="A19" s="3">
        <v>15</v>
      </c>
      <c r="B19" s="3" t="s">
        <v>35</v>
      </c>
      <c r="C19" s="3" t="s">
        <v>31</v>
      </c>
      <c r="D19" s="3" t="s">
        <v>13</v>
      </c>
      <c r="E19" s="3" t="s">
        <v>15</v>
      </c>
      <c r="F19" s="3"/>
    </row>
    <row r="20" spans="1:6" x14ac:dyDescent="0.35">
      <c r="A20" s="3">
        <v>16</v>
      </c>
      <c r="B20" s="3" t="s">
        <v>38</v>
      </c>
      <c r="C20" s="3" t="s">
        <v>31</v>
      </c>
      <c r="D20" s="3" t="s">
        <v>13</v>
      </c>
      <c r="E20" s="3" t="s">
        <v>15</v>
      </c>
      <c r="F20" s="3"/>
    </row>
    <row r="21" spans="1:6" x14ac:dyDescent="0.35">
      <c r="A21" s="3">
        <v>17</v>
      </c>
      <c r="B21" s="3" t="s">
        <v>39</v>
      </c>
      <c r="C21" s="3" t="s">
        <v>31</v>
      </c>
      <c r="D21" s="3" t="s">
        <v>13</v>
      </c>
      <c r="E21" s="3" t="s">
        <v>15</v>
      </c>
      <c r="F21" s="3"/>
    </row>
    <row r="22" spans="1:6" x14ac:dyDescent="0.35">
      <c r="A22" s="3">
        <v>18</v>
      </c>
      <c r="B22" s="3" t="s">
        <v>40</v>
      </c>
      <c r="C22" s="3" t="s">
        <v>31</v>
      </c>
      <c r="D22" s="3" t="s">
        <v>13</v>
      </c>
      <c r="E22" s="3" t="s">
        <v>15</v>
      </c>
      <c r="F22" s="3"/>
    </row>
    <row r="23" spans="1:6" x14ac:dyDescent="0.35">
      <c r="A23" s="3">
        <v>19</v>
      </c>
      <c r="B23" s="3" t="s">
        <v>41</v>
      </c>
      <c r="C23" s="3" t="s">
        <v>31</v>
      </c>
      <c r="D23" s="3" t="s">
        <v>13</v>
      </c>
      <c r="E23" s="3" t="s">
        <v>15</v>
      </c>
      <c r="F23" s="3"/>
    </row>
    <row r="24" spans="1:6" x14ac:dyDescent="0.35">
      <c r="A24" s="3">
        <v>20</v>
      </c>
      <c r="B24" s="3" t="s">
        <v>33</v>
      </c>
      <c r="C24" s="3" t="s">
        <v>31</v>
      </c>
      <c r="D24" s="3" t="s">
        <v>13</v>
      </c>
      <c r="E24" s="3" t="s">
        <v>15</v>
      </c>
      <c r="F24" s="3"/>
    </row>
    <row r="25" spans="1:6" x14ac:dyDescent="0.35">
      <c r="A25" s="3">
        <v>21</v>
      </c>
      <c r="B25" s="3" t="s">
        <v>42</v>
      </c>
      <c r="C25" s="3" t="s">
        <v>31</v>
      </c>
      <c r="D25" s="3" t="s">
        <v>8</v>
      </c>
      <c r="E25" s="3" t="s">
        <v>15</v>
      </c>
      <c r="F25" s="3"/>
    </row>
    <row r="26" spans="1:6" x14ac:dyDescent="0.35">
      <c r="A26" s="3">
        <v>22</v>
      </c>
      <c r="B26" s="3" t="s">
        <v>43</v>
      </c>
      <c r="C26" s="3" t="s">
        <v>31</v>
      </c>
      <c r="D26" s="3" t="s">
        <v>8</v>
      </c>
      <c r="E26" s="3" t="s">
        <v>15</v>
      </c>
      <c r="F26" s="3"/>
    </row>
    <row r="27" spans="1:6" x14ac:dyDescent="0.35">
      <c r="A27" s="3">
        <v>23</v>
      </c>
      <c r="B27" s="3" t="s">
        <v>44</v>
      </c>
      <c r="C27" s="3" t="s">
        <v>31</v>
      </c>
      <c r="D27" s="3" t="s">
        <v>8</v>
      </c>
      <c r="E27" s="3" t="s">
        <v>15</v>
      </c>
      <c r="F27" s="3"/>
    </row>
    <row r="28" spans="1:6" x14ac:dyDescent="0.35">
      <c r="A28" s="3">
        <v>24</v>
      </c>
      <c r="B28" s="3" t="s">
        <v>45</v>
      </c>
      <c r="C28" s="3" t="s">
        <v>31</v>
      </c>
      <c r="D28" s="3" t="s">
        <v>8</v>
      </c>
      <c r="E28" s="3" t="s">
        <v>15</v>
      </c>
      <c r="F28" s="3"/>
    </row>
    <row r="29" spans="1:6" x14ac:dyDescent="0.35">
      <c r="A29" s="3">
        <v>25</v>
      </c>
      <c r="B29" s="3" t="s">
        <v>46</v>
      </c>
      <c r="C29" s="3" t="s">
        <v>31</v>
      </c>
      <c r="D29" s="3" t="s">
        <v>8</v>
      </c>
      <c r="E29" s="3" t="s">
        <v>15</v>
      </c>
      <c r="F29" s="3"/>
    </row>
    <row r="30" spans="1:6" x14ac:dyDescent="0.35">
      <c r="A30" s="3">
        <v>26</v>
      </c>
      <c r="B30" s="3" t="s">
        <v>47</v>
      </c>
      <c r="C30" s="3" t="s">
        <v>31</v>
      </c>
      <c r="D30" s="3" t="s">
        <v>8</v>
      </c>
      <c r="E30" s="3" t="s">
        <v>15</v>
      </c>
      <c r="F30" s="3"/>
    </row>
    <row r="31" spans="1:6" x14ac:dyDescent="0.35">
      <c r="A31" s="3">
        <v>27</v>
      </c>
      <c r="B31" s="3" t="s">
        <v>48</v>
      </c>
      <c r="C31" s="3" t="s">
        <v>31</v>
      </c>
      <c r="D31" s="3" t="s">
        <v>8</v>
      </c>
      <c r="E31" s="3" t="s">
        <v>15</v>
      </c>
      <c r="F31" s="3"/>
    </row>
    <row r="32" spans="1:6" x14ac:dyDescent="0.35">
      <c r="A32" s="3">
        <v>28</v>
      </c>
      <c r="B32" s="3" t="s">
        <v>57</v>
      </c>
      <c r="C32" s="3" t="s">
        <v>31</v>
      </c>
      <c r="D32" s="3" t="s">
        <v>8</v>
      </c>
      <c r="E32" s="3" t="s">
        <v>15</v>
      </c>
      <c r="F32" s="3"/>
    </row>
    <row r="33" spans="1:6" x14ac:dyDescent="0.35">
      <c r="A33" s="3">
        <v>29</v>
      </c>
      <c r="B33" s="3" t="s">
        <v>49</v>
      </c>
      <c r="C33" s="3" t="s">
        <v>31</v>
      </c>
      <c r="D33" s="3" t="s">
        <v>8</v>
      </c>
      <c r="E33" s="3" t="s">
        <v>15</v>
      </c>
      <c r="F33" s="3"/>
    </row>
    <row r="34" spans="1:6" x14ac:dyDescent="0.35">
      <c r="A34" s="3">
        <v>30</v>
      </c>
      <c r="B34" s="3" t="s">
        <v>50</v>
      </c>
      <c r="C34" s="3" t="s">
        <v>31</v>
      </c>
      <c r="D34" s="3" t="s">
        <v>8</v>
      </c>
      <c r="E34" s="3" t="s">
        <v>15</v>
      </c>
      <c r="F34" s="3"/>
    </row>
    <row r="35" spans="1:6" x14ac:dyDescent="0.35">
      <c r="A35" s="3">
        <v>31</v>
      </c>
      <c r="B35" s="3" t="s">
        <v>51</v>
      </c>
      <c r="C35" s="3" t="s">
        <v>31</v>
      </c>
      <c r="D35" s="3" t="s">
        <v>8</v>
      </c>
      <c r="E35" s="3" t="s">
        <v>15</v>
      </c>
      <c r="F35" s="3"/>
    </row>
    <row r="36" spans="1:6" x14ac:dyDescent="0.35">
      <c r="A36" s="3">
        <v>32</v>
      </c>
      <c r="B36" s="3" t="s">
        <v>52</v>
      </c>
      <c r="C36" s="3" t="s">
        <v>31</v>
      </c>
      <c r="D36" s="3" t="s">
        <v>8</v>
      </c>
      <c r="E36" s="3" t="s">
        <v>15</v>
      </c>
      <c r="F36" s="3"/>
    </row>
    <row r="37" spans="1:6" x14ac:dyDescent="0.35">
      <c r="A37" s="3">
        <v>33</v>
      </c>
      <c r="B37" s="3" t="s">
        <v>53</v>
      </c>
      <c r="C37" s="3" t="s">
        <v>31</v>
      </c>
      <c r="D37" s="3" t="s">
        <v>8</v>
      </c>
      <c r="E37" s="3" t="s">
        <v>15</v>
      </c>
      <c r="F37" s="3"/>
    </row>
    <row r="38" spans="1:6" x14ac:dyDescent="0.35">
      <c r="A38" s="3">
        <v>34</v>
      </c>
      <c r="B38" s="3" t="s">
        <v>54</v>
      </c>
      <c r="C38" s="3" t="s">
        <v>31</v>
      </c>
      <c r="D38" s="3" t="s">
        <v>8</v>
      </c>
      <c r="E38" s="3" t="s">
        <v>15</v>
      </c>
      <c r="F38" s="3"/>
    </row>
    <row r="39" spans="1:6" x14ac:dyDescent="0.35">
      <c r="A39" s="3">
        <v>35</v>
      </c>
      <c r="B39" s="3" t="s">
        <v>55</v>
      </c>
      <c r="C39" s="3" t="s">
        <v>31</v>
      </c>
      <c r="D39" s="3" t="s">
        <v>8</v>
      </c>
      <c r="E39" s="3" t="s">
        <v>15</v>
      </c>
      <c r="F39" s="3"/>
    </row>
    <row r="40" spans="1:6" x14ac:dyDescent="0.35">
      <c r="A40" s="3">
        <v>36</v>
      </c>
      <c r="B40" s="3" t="s">
        <v>56</v>
      </c>
      <c r="C40" s="3" t="s">
        <v>31</v>
      </c>
      <c r="D40" s="3" t="s">
        <v>8</v>
      </c>
      <c r="E40" s="3" t="s">
        <v>15</v>
      </c>
      <c r="F40" s="3"/>
    </row>
    <row r="41" spans="1:6" x14ac:dyDescent="0.35">
      <c r="A41" s="3">
        <v>37</v>
      </c>
      <c r="B41" s="3" t="s">
        <v>58</v>
      </c>
      <c r="C41" s="3" t="s">
        <v>31</v>
      </c>
      <c r="D41" s="3" t="s">
        <v>12</v>
      </c>
      <c r="E41" s="3" t="s">
        <v>15</v>
      </c>
      <c r="F41" s="3"/>
    </row>
    <row r="42" spans="1:6" x14ac:dyDescent="0.35">
      <c r="A42" s="3">
        <v>38</v>
      </c>
      <c r="B42" s="3" t="s">
        <v>59</v>
      </c>
      <c r="C42" s="3" t="s">
        <v>31</v>
      </c>
      <c r="D42" s="3" t="s">
        <v>12</v>
      </c>
      <c r="E42" s="3" t="s">
        <v>15</v>
      </c>
      <c r="F42" s="3"/>
    </row>
    <row r="43" spans="1:6" x14ac:dyDescent="0.35">
      <c r="A43" s="3">
        <v>39</v>
      </c>
      <c r="B43" s="3" t="s">
        <v>60</v>
      </c>
      <c r="C43" s="3" t="s">
        <v>31</v>
      </c>
      <c r="D43" s="3" t="s">
        <v>12</v>
      </c>
      <c r="E43" s="3" t="s">
        <v>15</v>
      </c>
      <c r="F43" s="3"/>
    </row>
    <row r="44" spans="1:6" x14ac:dyDescent="0.35">
      <c r="A44" s="3">
        <v>40</v>
      </c>
      <c r="B44" s="3" t="s">
        <v>61</v>
      </c>
      <c r="C44" s="3" t="s">
        <v>31</v>
      </c>
      <c r="D44" s="3" t="s">
        <v>12</v>
      </c>
      <c r="E44" s="3" t="s">
        <v>15</v>
      </c>
      <c r="F44" s="3"/>
    </row>
    <row r="45" spans="1:6" x14ac:dyDescent="0.35">
      <c r="A45" s="3">
        <v>41</v>
      </c>
      <c r="B45" s="3" t="s">
        <v>62</v>
      </c>
      <c r="C45" s="3" t="s">
        <v>31</v>
      </c>
      <c r="D45" s="3" t="s">
        <v>12</v>
      </c>
      <c r="E45" s="3" t="s">
        <v>15</v>
      </c>
      <c r="F45" s="3"/>
    </row>
    <row r="46" spans="1:6" x14ac:dyDescent="0.35">
      <c r="A46" s="3">
        <v>42</v>
      </c>
      <c r="B46" s="3" t="s">
        <v>63</v>
      </c>
      <c r="C46" s="3" t="s">
        <v>31</v>
      </c>
      <c r="D46" s="3" t="s">
        <v>12</v>
      </c>
      <c r="E46" s="3" t="s">
        <v>15</v>
      </c>
      <c r="F46" s="3"/>
    </row>
    <row r="47" spans="1:6" x14ac:dyDescent="0.35">
      <c r="A47" s="3">
        <v>43</v>
      </c>
      <c r="B47" s="3" t="s">
        <v>64</v>
      </c>
      <c r="C47" s="3" t="s">
        <v>31</v>
      </c>
      <c r="D47" s="3" t="s">
        <v>10</v>
      </c>
      <c r="E47" s="3" t="s">
        <v>15</v>
      </c>
      <c r="F47" s="3"/>
    </row>
    <row r="48" spans="1:6" x14ac:dyDescent="0.35">
      <c r="A48" s="3">
        <v>44</v>
      </c>
      <c r="B48" s="3" t="s">
        <v>65</v>
      </c>
      <c r="C48" s="3" t="s">
        <v>31</v>
      </c>
      <c r="D48" s="3" t="s">
        <v>10</v>
      </c>
      <c r="E48" s="3" t="s">
        <v>15</v>
      </c>
      <c r="F48" s="3"/>
    </row>
    <row r="49" spans="1:6" x14ac:dyDescent="0.35">
      <c r="A49" s="3">
        <v>45</v>
      </c>
      <c r="B49" s="3" t="s">
        <v>66</v>
      </c>
      <c r="C49" s="3" t="s">
        <v>31</v>
      </c>
      <c r="D49" s="3" t="s">
        <v>10</v>
      </c>
      <c r="E49" s="3" t="s">
        <v>15</v>
      </c>
      <c r="F49" s="3"/>
    </row>
    <row r="50" spans="1:6" x14ac:dyDescent="0.35">
      <c r="A50" s="3">
        <v>46</v>
      </c>
      <c r="B50" s="3" t="s">
        <v>67</v>
      </c>
      <c r="C50" s="3" t="s">
        <v>31</v>
      </c>
      <c r="D50" s="3" t="s">
        <v>10</v>
      </c>
      <c r="E50" s="3" t="s">
        <v>15</v>
      </c>
      <c r="F50" s="3"/>
    </row>
    <row r="51" spans="1:6" x14ac:dyDescent="0.35">
      <c r="A51" s="3">
        <v>47</v>
      </c>
      <c r="B51" s="3" t="s">
        <v>68</v>
      </c>
      <c r="C51" s="3" t="s">
        <v>31</v>
      </c>
      <c r="D51" s="3" t="s">
        <v>10</v>
      </c>
      <c r="E51" s="3" t="s">
        <v>15</v>
      </c>
      <c r="F51" s="3"/>
    </row>
    <row r="52" spans="1:6" x14ac:dyDescent="0.35">
      <c r="A52" s="3">
        <v>48</v>
      </c>
      <c r="B52" s="3" t="s">
        <v>69</v>
      </c>
      <c r="C52" s="3" t="s">
        <v>31</v>
      </c>
      <c r="D52" s="3" t="s">
        <v>10</v>
      </c>
      <c r="E52" s="3" t="s">
        <v>15</v>
      </c>
      <c r="F52" s="3"/>
    </row>
    <row r="53" spans="1:6" x14ac:dyDescent="0.35">
      <c r="A53" s="3">
        <v>49</v>
      </c>
      <c r="B53" s="3" t="s">
        <v>70</v>
      </c>
      <c r="C53" s="3" t="s">
        <v>31</v>
      </c>
      <c r="D53" s="3" t="s">
        <v>10</v>
      </c>
      <c r="E53" s="3" t="s">
        <v>15</v>
      </c>
      <c r="F53" s="3"/>
    </row>
    <row r="54" spans="1:6" x14ac:dyDescent="0.35">
      <c r="A54" s="3">
        <v>50</v>
      </c>
      <c r="B54" s="3" t="s">
        <v>71</v>
      </c>
      <c r="C54" s="3" t="s">
        <v>31</v>
      </c>
      <c r="D54" s="3" t="s">
        <v>10</v>
      </c>
      <c r="E54" s="3" t="s">
        <v>15</v>
      </c>
      <c r="F54" s="3"/>
    </row>
    <row r="55" spans="1:6" x14ac:dyDescent="0.35">
      <c r="A55" s="3">
        <v>51</v>
      </c>
      <c r="B55" s="3" t="s">
        <v>72</v>
      </c>
      <c r="C55" s="3" t="s">
        <v>31</v>
      </c>
      <c r="D55" s="3" t="s">
        <v>10</v>
      </c>
      <c r="E55" s="3" t="s">
        <v>15</v>
      </c>
      <c r="F55" s="3"/>
    </row>
    <row r="56" spans="1:6" x14ac:dyDescent="0.35">
      <c r="A56" s="3">
        <v>52</v>
      </c>
      <c r="B56" s="6" t="s">
        <v>73</v>
      </c>
      <c r="C56" s="3" t="s">
        <v>31</v>
      </c>
      <c r="D56" s="6" t="s">
        <v>9</v>
      </c>
      <c r="E56" s="3" t="s">
        <v>15</v>
      </c>
      <c r="F56" s="3"/>
    </row>
    <row r="57" spans="1:6" x14ac:dyDescent="0.35">
      <c r="A57" s="3">
        <v>53</v>
      </c>
      <c r="B57" s="6" t="s">
        <v>74</v>
      </c>
      <c r="C57" s="3" t="s">
        <v>31</v>
      </c>
      <c r="D57" s="6" t="s">
        <v>9</v>
      </c>
      <c r="E57" s="3" t="s">
        <v>15</v>
      </c>
      <c r="F57" s="3"/>
    </row>
    <row r="58" spans="1:6" x14ac:dyDescent="0.35">
      <c r="A58" s="3">
        <v>54</v>
      </c>
      <c r="B58" s="6" t="s">
        <v>75</v>
      </c>
      <c r="C58" s="3" t="s">
        <v>31</v>
      </c>
      <c r="D58" s="6" t="s">
        <v>7</v>
      </c>
      <c r="E58" s="3" t="s">
        <v>15</v>
      </c>
      <c r="F58" s="3"/>
    </row>
    <row r="59" spans="1:6" x14ac:dyDescent="0.35">
      <c r="A59" s="3">
        <v>55</v>
      </c>
      <c r="B59" s="6" t="s">
        <v>76</v>
      </c>
      <c r="C59" s="3" t="s">
        <v>31</v>
      </c>
      <c r="D59" s="6" t="s">
        <v>7</v>
      </c>
      <c r="E59" s="3" t="s">
        <v>15</v>
      </c>
      <c r="F59" s="3"/>
    </row>
    <row r="60" spans="1:6" x14ac:dyDescent="0.35">
      <c r="A60" s="3">
        <v>56</v>
      </c>
      <c r="B60" s="6" t="s">
        <v>77</v>
      </c>
      <c r="C60" s="3" t="s">
        <v>31</v>
      </c>
      <c r="D60" s="6" t="s">
        <v>7</v>
      </c>
      <c r="E60" s="3" t="s">
        <v>15</v>
      </c>
      <c r="F60" s="3"/>
    </row>
    <row r="61" spans="1:6" x14ac:dyDescent="0.35">
      <c r="A61" s="3">
        <v>57</v>
      </c>
      <c r="B61" s="6" t="s">
        <v>78</v>
      </c>
      <c r="C61" s="3" t="s">
        <v>31</v>
      </c>
      <c r="D61" s="6" t="s">
        <v>7</v>
      </c>
      <c r="E61" s="3" t="s">
        <v>15</v>
      </c>
      <c r="F61" s="3"/>
    </row>
    <row r="62" spans="1:6" x14ac:dyDescent="0.35">
      <c r="A62" s="3">
        <v>58</v>
      </c>
      <c r="B62" s="6" t="s">
        <v>79</v>
      </c>
      <c r="C62" s="3" t="s">
        <v>31</v>
      </c>
      <c r="D62" s="6" t="s">
        <v>7</v>
      </c>
      <c r="E62" s="3" t="s">
        <v>15</v>
      </c>
      <c r="F62" s="3"/>
    </row>
    <row r="63" spans="1:6" x14ac:dyDescent="0.35">
      <c r="A63" s="3">
        <v>59</v>
      </c>
      <c r="B63" s="6" t="s">
        <v>80</v>
      </c>
      <c r="C63" s="3" t="s">
        <v>31</v>
      </c>
      <c r="D63" s="6" t="s">
        <v>7</v>
      </c>
      <c r="E63" s="3" t="s">
        <v>15</v>
      </c>
      <c r="F63" s="3"/>
    </row>
    <row r="64" spans="1:6" x14ac:dyDescent="0.35">
      <c r="A64" s="3">
        <v>60</v>
      </c>
      <c r="B64" s="6" t="s">
        <v>81</v>
      </c>
      <c r="C64" s="3" t="s">
        <v>31</v>
      </c>
      <c r="D64" s="6" t="s">
        <v>7</v>
      </c>
      <c r="E64" s="3" t="s">
        <v>15</v>
      </c>
      <c r="F64" s="3"/>
    </row>
    <row r="65" spans="1:6" x14ac:dyDescent="0.35">
      <c r="A65" s="3">
        <v>61</v>
      </c>
      <c r="B65" s="6" t="s">
        <v>82</v>
      </c>
      <c r="C65" s="3" t="s">
        <v>31</v>
      </c>
      <c r="D65" s="6" t="s">
        <v>7</v>
      </c>
      <c r="E65" s="3" t="s">
        <v>15</v>
      </c>
      <c r="F65" s="3"/>
    </row>
    <row r="66" spans="1:6" x14ac:dyDescent="0.35">
      <c r="A66" s="3">
        <v>62</v>
      </c>
      <c r="B66" s="6" t="s">
        <v>83</v>
      </c>
      <c r="C66" s="3" t="s">
        <v>31</v>
      </c>
      <c r="D66" s="6" t="s">
        <v>7</v>
      </c>
      <c r="E66" s="3" t="s">
        <v>15</v>
      </c>
      <c r="F66" s="3"/>
    </row>
    <row r="67" spans="1:6" x14ac:dyDescent="0.35">
      <c r="A67" s="3">
        <v>63</v>
      </c>
      <c r="B67" s="6" t="s">
        <v>84</v>
      </c>
      <c r="C67" s="3" t="s">
        <v>31</v>
      </c>
      <c r="D67" s="6" t="s">
        <v>7</v>
      </c>
      <c r="E67" s="3" t="s">
        <v>15</v>
      </c>
      <c r="F67" s="3"/>
    </row>
    <row r="68" spans="1:6" x14ac:dyDescent="0.35">
      <c r="A68" s="3">
        <v>64</v>
      </c>
      <c r="B68" s="6" t="s">
        <v>85</v>
      </c>
      <c r="C68" s="3" t="s">
        <v>31</v>
      </c>
      <c r="D68" s="6" t="s">
        <v>7</v>
      </c>
      <c r="E68" s="3" t="s">
        <v>15</v>
      </c>
      <c r="F68" s="3"/>
    </row>
    <row r="69" spans="1:6" x14ac:dyDescent="0.35">
      <c r="A69" s="3">
        <v>65</v>
      </c>
      <c r="B69" s="6" t="s">
        <v>86</v>
      </c>
      <c r="C69" s="3" t="s">
        <v>31</v>
      </c>
      <c r="D69" s="6" t="s">
        <v>7</v>
      </c>
      <c r="E69" s="3" t="s">
        <v>15</v>
      </c>
      <c r="F69" s="3"/>
    </row>
    <row r="70" spans="1:6" x14ac:dyDescent="0.35">
      <c r="A70" s="3">
        <v>66</v>
      </c>
      <c r="B70" s="3" t="s">
        <v>87</v>
      </c>
      <c r="C70" s="3" t="s">
        <v>31</v>
      </c>
      <c r="D70" s="6" t="s">
        <v>4</v>
      </c>
      <c r="E70" s="6" t="s">
        <v>32</v>
      </c>
      <c r="F70" s="3"/>
    </row>
    <row r="71" spans="1:6" x14ac:dyDescent="0.35">
      <c r="A71" s="3">
        <v>67</v>
      </c>
      <c r="B71" s="3" t="s">
        <v>94</v>
      </c>
      <c r="C71" s="3" t="s">
        <v>31</v>
      </c>
      <c r="D71" s="6" t="s">
        <v>4</v>
      </c>
      <c r="E71" s="6" t="s">
        <v>32</v>
      </c>
      <c r="F71" s="3"/>
    </row>
    <row r="72" spans="1:6" x14ac:dyDescent="0.35">
      <c r="A72" s="3">
        <v>68</v>
      </c>
      <c r="B72" s="3" t="s">
        <v>88</v>
      </c>
      <c r="C72" s="3" t="s">
        <v>31</v>
      </c>
      <c r="D72" s="6" t="s">
        <v>4</v>
      </c>
      <c r="E72" s="6" t="s">
        <v>32</v>
      </c>
      <c r="F72" s="3"/>
    </row>
    <row r="73" spans="1:6" x14ac:dyDescent="0.35">
      <c r="A73" s="3">
        <v>69</v>
      </c>
      <c r="B73" s="3" t="s">
        <v>89</v>
      </c>
      <c r="C73" s="3" t="s">
        <v>31</v>
      </c>
      <c r="D73" s="6" t="s">
        <v>4</v>
      </c>
      <c r="E73" s="6" t="s">
        <v>32</v>
      </c>
      <c r="F73" s="3"/>
    </row>
    <row r="74" spans="1:6" x14ac:dyDescent="0.35">
      <c r="A74" s="3">
        <v>70</v>
      </c>
      <c r="B74" s="3" t="s">
        <v>90</v>
      </c>
      <c r="C74" s="3" t="s">
        <v>31</v>
      </c>
      <c r="D74" s="6" t="s">
        <v>4</v>
      </c>
      <c r="E74" s="6" t="s">
        <v>32</v>
      </c>
      <c r="F74" s="3"/>
    </row>
    <row r="75" spans="1:6" x14ac:dyDescent="0.35">
      <c r="A75" s="3">
        <v>71</v>
      </c>
      <c r="B75" s="3" t="s">
        <v>91</v>
      </c>
      <c r="C75" s="3" t="s">
        <v>31</v>
      </c>
      <c r="D75" s="6" t="s">
        <v>4</v>
      </c>
      <c r="E75" s="6" t="s">
        <v>32</v>
      </c>
      <c r="F75" s="3"/>
    </row>
    <row r="76" spans="1:6" x14ac:dyDescent="0.35">
      <c r="A76" s="3">
        <v>72</v>
      </c>
      <c r="B76" s="3" t="s">
        <v>92</v>
      </c>
      <c r="C76" s="3" t="s">
        <v>31</v>
      </c>
      <c r="D76" s="6" t="s">
        <v>4</v>
      </c>
      <c r="E76" s="6" t="s">
        <v>32</v>
      </c>
      <c r="F76" s="3"/>
    </row>
    <row r="77" spans="1:6" x14ac:dyDescent="0.35">
      <c r="A77" s="3">
        <v>73</v>
      </c>
      <c r="B77" s="3" t="s">
        <v>93</v>
      </c>
      <c r="C77" s="3" t="s">
        <v>31</v>
      </c>
      <c r="D77" s="6" t="s">
        <v>4</v>
      </c>
      <c r="E77" s="6" t="s">
        <v>32</v>
      </c>
      <c r="F77" s="3"/>
    </row>
    <row r="78" spans="1:6" x14ac:dyDescent="0.35">
      <c r="A78" s="3">
        <v>74</v>
      </c>
      <c r="B78" s="6" t="s">
        <v>95</v>
      </c>
      <c r="C78" s="3" t="s">
        <v>31</v>
      </c>
      <c r="D78" s="6" t="s">
        <v>4</v>
      </c>
      <c r="E78" s="6" t="s">
        <v>15</v>
      </c>
      <c r="F78" s="3"/>
    </row>
    <row r="79" spans="1:6" x14ac:dyDescent="0.35">
      <c r="A79" s="3">
        <v>75</v>
      </c>
      <c r="B79" s="6" t="s">
        <v>96</v>
      </c>
      <c r="C79" s="3" t="s">
        <v>31</v>
      </c>
      <c r="D79" s="6" t="s">
        <v>4</v>
      </c>
      <c r="E79" s="6" t="s">
        <v>15</v>
      </c>
      <c r="F79" s="3"/>
    </row>
    <row r="80" spans="1:6" x14ac:dyDescent="0.35">
      <c r="A80" s="3">
        <v>76</v>
      </c>
      <c r="B80" s="6" t="s">
        <v>97</v>
      </c>
      <c r="C80" s="3" t="s">
        <v>31</v>
      </c>
      <c r="D80" s="6" t="s">
        <v>4</v>
      </c>
      <c r="E80" s="6" t="s">
        <v>15</v>
      </c>
      <c r="F80" s="3"/>
    </row>
    <row r="81" spans="1:6" x14ac:dyDescent="0.35">
      <c r="A81" s="3">
        <v>77</v>
      </c>
      <c r="B81" s="6" t="s">
        <v>98</v>
      </c>
      <c r="C81" s="3" t="s">
        <v>31</v>
      </c>
      <c r="D81" s="6" t="s">
        <v>6</v>
      </c>
      <c r="E81" s="6" t="s">
        <v>15</v>
      </c>
      <c r="F81" s="3"/>
    </row>
    <row r="82" spans="1:6" x14ac:dyDescent="0.35">
      <c r="A82" s="3">
        <v>78</v>
      </c>
      <c r="B82" s="6" t="s">
        <v>99</v>
      </c>
      <c r="C82" s="3" t="s">
        <v>31</v>
      </c>
      <c r="D82" s="6" t="s">
        <v>6</v>
      </c>
      <c r="E82" s="6" t="s">
        <v>15</v>
      </c>
      <c r="F82" s="3"/>
    </row>
    <row r="83" spans="1:6" x14ac:dyDescent="0.35">
      <c r="A83" s="3">
        <v>79</v>
      </c>
      <c r="B83" s="6" t="s">
        <v>100</v>
      </c>
      <c r="C83" s="3" t="s">
        <v>31</v>
      </c>
      <c r="D83" s="6" t="s">
        <v>6</v>
      </c>
      <c r="E83" s="6" t="s">
        <v>15</v>
      </c>
      <c r="F83" s="3"/>
    </row>
    <row r="84" spans="1:6" x14ac:dyDescent="0.35">
      <c r="A84" s="3">
        <v>80</v>
      </c>
      <c r="B84" s="6" t="s">
        <v>101</v>
      </c>
      <c r="C84" s="3" t="s">
        <v>31</v>
      </c>
      <c r="D84" s="6" t="s">
        <v>6</v>
      </c>
      <c r="E84" s="6" t="s">
        <v>15</v>
      </c>
      <c r="F84" s="3"/>
    </row>
    <row r="85" spans="1:6" x14ac:dyDescent="0.35">
      <c r="A85" s="3"/>
      <c r="B85" s="6" t="s">
        <v>130</v>
      </c>
      <c r="C85" s="3" t="s">
        <v>21</v>
      </c>
      <c r="D85" s="6" t="s">
        <v>14</v>
      </c>
      <c r="E85" s="6" t="s">
        <v>15</v>
      </c>
      <c r="F85" s="3"/>
    </row>
    <row r="86" spans="1:6" x14ac:dyDescent="0.35">
      <c r="A86" s="3">
        <v>81</v>
      </c>
      <c r="B86" s="6" t="s">
        <v>102</v>
      </c>
      <c r="C86" s="3" t="s">
        <v>31</v>
      </c>
      <c r="D86" s="6" t="s">
        <v>14</v>
      </c>
      <c r="E86" s="6" t="s">
        <v>15</v>
      </c>
      <c r="F86" s="3"/>
    </row>
    <row r="87" spans="1:6" x14ac:dyDescent="0.35">
      <c r="A87" s="3">
        <v>82</v>
      </c>
      <c r="B87" s="6" t="s">
        <v>103</v>
      </c>
      <c r="C87" s="3" t="s">
        <v>31</v>
      </c>
      <c r="D87" s="6" t="s">
        <v>14</v>
      </c>
      <c r="E87" s="6" t="s">
        <v>15</v>
      </c>
      <c r="F87" s="3"/>
    </row>
    <row r="88" spans="1:6" x14ac:dyDescent="0.35">
      <c r="A88" s="3">
        <v>83</v>
      </c>
      <c r="B88" s="6" t="s">
        <v>104</v>
      </c>
      <c r="C88" s="3" t="s">
        <v>31</v>
      </c>
      <c r="D88" s="6" t="s">
        <v>14</v>
      </c>
      <c r="E88" s="6" t="s">
        <v>15</v>
      </c>
      <c r="F88" s="3"/>
    </row>
    <row r="89" spans="1:6" x14ac:dyDescent="0.35">
      <c r="A89" s="3">
        <v>84</v>
      </c>
      <c r="B89" s="6" t="s">
        <v>105</v>
      </c>
      <c r="C89" s="3" t="s">
        <v>31</v>
      </c>
      <c r="D89" s="6" t="s">
        <v>14</v>
      </c>
      <c r="E89" s="6" t="s">
        <v>15</v>
      </c>
      <c r="F89" s="3"/>
    </row>
    <row r="90" spans="1:6" x14ac:dyDescent="0.35">
      <c r="A90" s="3">
        <v>85</v>
      </c>
      <c r="B90" s="6" t="s">
        <v>106</v>
      </c>
      <c r="C90" s="3" t="s">
        <v>31</v>
      </c>
      <c r="D90" s="6" t="s">
        <v>14</v>
      </c>
      <c r="E90" s="6" t="s">
        <v>15</v>
      </c>
      <c r="F90" s="3"/>
    </row>
    <row r="91" spans="1:6" x14ac:dyDescent="0.35">
      <c r="A91" s="3">
        <v>86</v>
      </c>
      <c r="B91" s="6" t="s">
        <v>107</v>
      </c>
      <c r="C91" s="3" t="s">
        <v>31</v>
      </c>
      <c r="D91" s="6" t="s">
        <v>14</v>
      </c>
      <c r="E91" s="6" t="s">
        <v>15</v>
      </c>
      <c r="F91" s="3"/>
    </row>
    <row r="92" spans="1:6" x14ac:dyDescent="0.35">
      <c r="A92" s="3">
        <v>87</v>
      </c>
      <c r="B92" s="6" t="s">
        <v>108</v>
      </c>
      <c r="C92" s="3" t="s">
        <v>31</v>
      </c>
      <c r="D92" s="6" t="s">
        <v>14</v>
      </c>
      <c r="E92" s="6" t="s">
        <v>15</v>
      </c>
      <c r="F92" s="3"/>
    </row>
    <row r="93" spans="1:6" x14ac:dyDescent="0.35">
      <c r="A93" s="3">
        <v>88</v>
      </c>
      <c r="B93" s="6" t="s">
        <v>109</v>
      </c>
      <c r="C93" s="3" t="s">
        <v>31</v>
      </c>
      <c r="D93" s="6" t="s">
        <v>4</v>
      </c>
      <c r="E93" s="6" t="s">
        <v>117</v>
      </c>
      <c r="F93" s="3"/>
    </row>
    <row r="94" spans="1:6" x14ac:dyDescent="0.35">
      <c r="A94" s="3">
        <v>89</v>
      </c>
      <c r="B94" s="6" t="s">
        <v>110</v>
      </c>
      <c r="C94" s="3" t="s">
        <v>31</v>
      </c>
      <c r="D94" s="6" t="s">
        <v>4</v>
      </c>
      <c r="E94" s="6" t="s">
        <v>117</v>
      </c>
      <c r="F94" s="3"/>
    </row>
    <row r="95" spans="1:6" x14ac:dyDescent="0.35">
      <c r="A95" s="3">
        <v>90</v>
      </c>
      <c r="B95" s="6" t="s">
        <v>111</v>
      </c>
      <c r="C95" s="3" t="s">
        <v>31</v>
      </c>
      <c r="D95" s="6" t="s">
        <v>4</v>
      </c>
      <c r="E95" s="6" t="s">
        <v>117</v>
      </c>
      <c r="F95" s="3"/>
    </row>
    <row r="96" spans="1:6" x14ac:dyDescent="0.35">
      <c r="A96" s="3">
        <v>91</v>
      </c>
      <c r="B96" s="6" t="s">
        <v>112</v>
      </c>
      <c r="C96" s="3" t="s">
        <v>31</v>
      </c>
      <c r="D96" s="6" t="s">
        <v>4</v>
      </c>
      <c r="E96" s="6" t="s">
        <v>117</v>
      </c>
      <c r="F96" s="3"/>
    </row>
    <row r="97" spans="1:6" x14ac:dyDescent="0.35">
      <c r="A97" s="3">
        <v>92</v>
      </c>
      <c r="B97" s="6" t="s">
        <v>113</v>
      </c>
      <c r="C97" s="3" t="s">
        <v>31</v>
      </c>
      <c r="D97" s="6" t="s">
        <v>4</v>
      </c>
      <c r="E97" s="6" t="s">
        <v>117</v>
      </c>
      <c r="F97" s="3"/>
    </row>
    <row r="98" spans="1:6" x14ac:dyDescent="0.35">
      <c r="A98" s="3">
        <v>93</v>
      </c>
      <c r="B98" s="6" t="s">
        <v>114</v>
      </c>
      <c r="C98" s="3" t="s">
        <v>31</v>
      </c>
      <c r="D98" s="6" t="s">
        <v>4</v>
      </c>
      <c r="E98" s="6" t="s">
        <v>117</v>
      </c>
      <c r="F98" s="3"/>
    </row>
    <row r="99" spans="1:6" x14ac:dyDescent="0.35">
      <c r="A99" s="3">
        <v>94</v>
      </c>
      <c r="B99" s="6" t="s">
        <v>115</v>
      </c>
      <c r="C99" s="3" t="s">
        <v>31</v>
      </c>
      <c r="D99" s="6" t="s">
        <v>4</v>
      </c>
      <c r="E99" s="6" t="s">
        <v>117</v>
      </c>
      <c r="F99" s="3"/>
    </row>
    <row r="100" spans="1:6" x14ac:dyDescent="0.35">
      <c r="A100" s="3">
        <v>95</v>
      </c>
      <c r="B100" s="6" t="s">
        <v>116</v>
      </c>
      <c r="C100" s="3" t="s">
        <v>31</v>
      </c>
      <c r="D100" s="6" t="s">
        <v>5</v>
      </c>
      <c r="E100" s="6" t="s">
        <v>117</v>
      </c>
      <c r="F100" s="3"/>
    </row>
    <row r="101" spans="1:6" x14ac:dyDescent="0.35">
      <c r="A101" s="3">
        <v>96</v>
      </c>
      <c r="B101" s="6" t="s">
        <v>118</v>
      </c>
      <c r="C101" s="3" t="s">
        <v>31</v>
      </c>
      <c r="D101" s="6" t="s">
        <v>5</v>
      </c>
      <c r="E101" s="6" t="s">
        <v>117</v>
      </c>
      <c r="F101" s="3"/>
    </row>
    <row r="102" spans="1:6" x14ac:dyDescent="0.35">
      <c r="A102" s="3">
        <v>97</v>
      </c>
      <c r="B102" s="6" t="s">
        <v>119</v>
      </c>
      <c r="C102" s="3" t="s">
        <v>31</v>
      </c>
      <c r="D102" s="6" t="s">
        <v>5</v>
      </c>
      <c r="E102" s="6" t="s">
        <v>117</v>
      </c>
      <c r="F102" s="3"/>
    </row>
    <row r="103" spans="1:6" x14ac:dyDescent="0.35">
      <c r="A103" s="3">
        <v>98</v>
      </c>
      <c r="B103" s="6" t="s">
        <v>120</v>
      </c>
      <c r="C103" s="3" t="s">
        <v>31</v>
      </c>
      <c r="D103" s="6" t="s">
        <v>5</v>
      </c>
      <c r="E103" s="6" t="s">
        <v>117</v>
      </c>
      <c r="F103" s="3"/>
    </row>
    <row r="104" spans="1:6" x14ac:dyDescent="0.35">
      <c r="A104" s="3">
        <v>99</v>
      </c>
      <c r="B104" s="6" t="s">
        <v>121</v>
      </c>
      <c r="C104" s="3" t="s">
        <v>31</v>
      </c>
      <c r="D104" s="6" t="s">
        <v>5</v>
      </c>
      <c r="E104" s="6" t="s">
        <v>117</v>
      </c>
      <c r="F104" s="3"/>
    </row>
    <row r="105" spans="1:6" x14ac:dyDescent="0.35">
      <c r="A105" s="3">
        <v>100</v>
      </c>
      <c r="B105" s="6" t="s">
        <v>122</v>
      </c>
      <c r="C105" s="3" t="s">
        <v>31</v>
      </c>
      <c r="D105" s="6" t="s">
        <v>5</v>
      </c>
      <c r="E105" s="6" t="s">
        <v>117</v>
      </c>
      <c r="F105" s="3"/>
    </row>
    <row r="106" spans="1:6" x14ac:dyDescent="0.35">
      <c r="A106" s="3">
        <v>101</v>
      </c>
      <c r="B106" s="6" t="s">
        <v>123</v>
      </c>
      <c r="C106" s="3" t="s">
        <v>31</v>
      </c>
      <c r="D106" s="6" t="s">
        <v>5</v>
      </c>
      <c r="E106" s="6" t="s">
        <v>117</v>
      </c>
      <c r="F106" s="3"/>
    </row>
    <row r="107" spans="1:6" x14ac:dyDescent="0.35">
      <c r="A107" s="3">
        <v>102</v>
      </c>
      <c r="B107" s="6" t="s">
        <v>124</v>
      </c>
      <c r="C107" s="3" t="s">
        <v>31</v>
      </c>
      <c r="D107" s="6" t="s">
        <v>5</v>
      </c>
      <c r="E107" s="6" t="s">
        <v>117</v>
      </c>
      <c r="F107" s="3"/>
    </row>
    <row r="108" spans="1:6" x14ac:dyDescent="0.35">
      <c r="A108" s="3">
        <v>103</v>
      </c>
      <c r="B108" s="6" t="s">
        <v>125</v>
      </c>
      <c r="C108" s="3" t="s">
        <v>31</v>
      </c>
      <c r="D108" s="6" t="s">
        <v>5</v>
      </c>
      <c r="E108" s="6" t="s">
        <v>117</v>
      </c>
      <c r="F108" s="3"/>
    </row>
    <row r="109" spans="1:6" x14ac:dyDescent="0.35">
      <c r="A109" s="3">
        <v>104</v>
      </c>
      <c r="B109" s="6" t="s">
        <v>126</v>
      </c>
      <c r="C109" s="3" t="s">
        <v>31</v>
      </c>
      <c r="D109" s="6" t="s">
        <v>5</v>
      </c>
      <c r="E109" s="6" t="s">
        <v>117</v>
      </c>
      <c r="F109" s="3"/>
    </row>
    <row r="110" spans="1:6" x14ac:dyDescent="0.35">
      <c r="A110" s="3">
        <v>105</v>
      </c>
      <c r="B110" s="3"/>
      <c r="C110" s="3"/>
      <c r="D110" s="3"/>
      <c r="E110" s="3"/>
      <c r="F110" s="3"/>
    </row>
    <row r="111" spans="1:6" x14ac:dyDescent="0.35">
      <c r="A111" s="3">
        <v>106</v>
      </c>
      <c r="B111" s="3"/>
      <c r="C111" s="3"/>
      <c r="D111" s="3"/>
      <c r="E111" s="3"/>
      <c r="F111" s="3"/>
    </row>
    <row r="112" spans="1:6" x14ac:dyDescent="0.35">
      <c r="A112" s="3">
        <v>107</v>
      </c>
      <c r="B112" s="3"/>
      <c r="C112" s="3"/>
      <c r="D112" s="3"/>
      <c r="E112" s="3"/>
      <c r="F112" s="3"/>
    </row>
    <row r="113" spans="1:6" x14ac:dyDescent="0.35">
      <c r="A113" s="3">
        <v>108</v>
      </c>
      <c r="B113" s="3"/>
      <c r="C113" s="3"/>
      <c r="D113" s="3"/>
      <c r="E113" s="3"/>
      <c r="F113" s="3"/>
    </row>
    <row r="114" spans="1:6" x14ac:dyDescent="0.35">
      <c r="A114" s="3">
        <v>109</v>
      </c>
      <c r="B114" s="3"/>
      <c r="C114" s="3"/>
      <c r="D114" s="3"/>
      <c r="E114" s="3"/>
      <c r="F114" s="3"/>
    </row>
    <row r="115" spans="1:6" x14ac:dyDescent="0.35">
      <c r="A115" s="3">
        <v>110</v>
      </c>
      <c r="B115" s="3"/>
      <c r="C115" s="3"/>
      <c r="D115" s="3"/>
      <c r="E115" s="3"/>
      <c r="F115" s="3"/>
    </row>
    <row r="116" spans="1:6" x14ac:dyDescent="0.35">
      <c r="A116" s="3">
        <v>111</v>
      </c>
      <c r="B116" s="3"/>
      <c r="C116" s="3"/>
      <c r="D116" s="3"/>
      <c r="E116" s="3"/>
      <c r="F116" s="3"/>
    </row>
    <row r="117" spans="1:6" x14ac:dyDescent="0.35">
      <c r="A117" s="3">
        <v>112</v>
      </c>
      <c r="B117" s="3"/>
      <c r="C117" s="3"/>
      <c r="D117" s="3"/>
      <c r="E117" s="3"/>
      <c r="F117" s="3"/>
    </row>
    <row r="118" spans="1:6" x14ac:dyDescent="0.35">
      <c r="A118" s="3">
        <v>113</v>
      </c>
      <c r="B118" s="3"/>
      <c r="C118" s="3"/>
      <c r="D118" s="3"/>
      <c r="E118" s="3"/>
      <c r="F118" s="3"/>
    </row>
    <row r="119" spans="1:6" x14ac:dyDescent="0.35">
      <c r="A119" s="3">
        <v>114</v>
      </c>
      <c r="B119" s="3"/>
      <c r="C119" s="3"/>
      <c r="D119" s="3"/>
      <c r="E119" s="3"/>
      <c r="F119" s="3"/>
    </row>
    <row r="120" spans="1:6" x14ac:dyDescent="0.35">
      <c r="A120" s="3">
        <v>115</v>
      </c>
      <c r="B120" s="3"/>
      <c r="C120" s="3"/>
      <c r="D120" s="3"/>
      <c r="E120" s="3"/>
      <c r="F120" s="3"/>
    </row>
    <row r="121" spans="1:6" x14ac:dyDescent="0.35">
      <c r="A121" s="3">
        <v>116</v>
      </c>
      <c r="B121" s="3"/>
      <c r="C121" s="3"/>
      <c r="D121" s="3"/>
      <c r="E121" s="3"/>
      <c r="F121" s="3"/>
    </row>
    <row r="122" spans="1:6" x14ac:dyDescent="0.35">
      <c r="A122" s="3">
        <v>117</v>
      </c>
      <c r="B122" s="3"/>
      <c r="C122" s="3"/>
      <c r="D122" s="3"/>
      <c r="E122" s="3"/>
      <c r="F122" s="3"/>
    </row>
    <row r="123" spans="1:6" x14ac:dyDescent="0.35">
      <c r="A123" s="3">
        <v>118</v>
      </c>
      <c r="B123" s="3"/>
      <c r="C123" s="3"/>
      <c r="D123" s="3"/>
      <c r="E123" s="3"/>
      <c r="F123" s="3"/>
    </row>
    <row r="124" spans="1:6" x14ac:dyDescent="0.35">
      <c r="A124" s="3">
        <v>119</v>
      </c>
      <c r="B124" s="3"/>
      <c r="C124" s="3"/>
      <c r="D124" s="3"/>
      <c r="E124" s="3"/>
      <c r="F124" s="3"/>
    </row>
    <row r="125" spans="1:6" x14ac:dyDescent="0.35">
      <c r="A125" s="3">
        <v>120</v>
      </c>
      <c r="B125" s="3"/>
      <c r="C125" s="3"/>
      <c r="D125" s="3"/>
      <c r="E125" s="3"/>
      <c r="F125" s="3"/>
    </row>
    <row r="126" spans="1:6" x14ac:dyDescent="0.35">
      <c r="A126" s="3">
        <v>121</v>
      </c>
      <c r="B126" s="3"/>
      <c r="C126" s="3"/>
      <c r="D126" s="3"/>
      <c r="E126" s="3"/>
      <c r="F126" s="3"/>
    </row>
    <row r="127" spans="1:6" x14ac:dyDescent="0.35">
      <c r="A127" s="3">
        <v>122</v>
      </c>
      <c r="B127" s="3"/>
      <c r="C127" s="3"/>
      <c r="D127" s="3"/>
      <c r="E127" s="3"/>
      <c r="F127" s="3"/>
    </row>
    <row r="128" spans="1:6" x14ac:dyDescent="0.35">
      <c r="A128" s="3">
        <v>123</v>
      </c>
      <c r="B128" s="3"/>
      <c r="C128" s="3"/>
      <c r="D128" s="3"/>
      <c r="E128" s="3"/>
      <c r="F128" s="3"/>
    </row>
    <row r="129" spans="1:6" x14ac:dyDescent="0.35">
      <c r="A129" s="3">
        <v>124</v>
      </c>
      <c r="B129" s="3"/>
      <c r="C129" s="3"/>
      <c r="D129" s="3"/>
      <c r="E129" s="3"/>
      <c r="F129" s="3"/>
    </row>
    <row r="130" spans="1:6" x14ac:dyDescent="0.35">
      <c r="A130" s="3">
        <v>125</v>
      </c>
      <c r="B130" s="3"/>
      <c r="C130" s="3"/>
      <c r="D130" s="3"/>
      <c r="E130" s="3"/>
      <c r="F130" s="3"/>
    </row>
    <row r="131" spans="1:6" x14ac:dyDescent="0.35">
      <c r="A131" s="3">
        <v>126</v>
      </c>
      <c r="B131" s="3"/>
      <c r="C131" s="3"/>
      <c r="D131" s="3"/>
      <c r="E131" s="3"/>
      <c r="F131" s="3"/>
    </row>
    <row r="132" spans="1:6" x14ac:dyDescent="0.35">
      <c r="A132" s="3">
        <v>127</v>
      </c>
      <c r="B132" s="3"/>
      <c r="C132" s="3"/>
      <c r="D132" s="3"/>
      <c r="E132" s="3"/>
      <c r="F132" s="3"/>
    </row>
    <row r="133" spans="1:6" x14ac:dyDescent="0.35">
      <c r="A133" s="3">
        <v>128</v>
      </c>
      <c r="B133" s="3"/>
      <c r="C133" s="3"/>
      <c r="D133" s="3"/>
      <c r="E133" s="3"/>
      <c r="F133" s="3"/>
    </row>
    <row r="134" spans="1:6" x14ac:dyDescent="0.35">
      <c r="A134" s="3">
        <v>129</v>
      </c>
      <c r="B134" s="3"/>
      <c r="C134" s="3"/>
      <c r="D134" s="3"/>
      <c r="E134" s="3"/>
      <c r="F134" s="3"/>
    </row>
    <row r="135" spans="1:6" x14ac:dyDescent="0.35">
      <c r="A135" s="3">
        <v>130</v>
      </c>
      <c r="B135" s="3"/>
      <c r="C135" s="3"/>
      <c r="D135" s="3"/>
      <c r="E135" s="3"/>
      <c r="F135" s="3"/>
    </row>
    <row r="136" spans="1:6" x14ac:dyDescent="0.35">
      <c r="A136" s="3">
        <v>131</v>
      </c>
      <c r="B136" s="3"/>
      <c r="C136" s="3"/>
      <c r="D136" s="3"/>
      <c r="E136" s="3"/>
      <c r="F136" s="3"/>
    </row>
    <row r="137" spans="1:6" x14ac:dyDescent="0.35">
      <c r="A137" s="3">
        <v>132</v>
      </c>
      <c r="B137" s="3"/>
      <c r="C137" s="3"/>
      <c r="D137" s="3"/>
      <c r="E137" s="3"/>
      <c r="F137" s="3"/>
    </row>
    <row r="138" spans="1:6" x14ac:dyDescent="0.35">
      <c r="A138" s="3">
        <v>133</v>
      </c>
      <c r="B138" s="3"/>
      <c r="C138" s="3"/>
      <c r="D138" s="3"/>
      <c r="E138" s="3"/>
      <c r="F138" s="3"/>
    </row>
    <row r="139" spans="1:6" x14ac:dyDescent="0.35">
      <c r="A139" s="3">
        <v>134</v>
      </c>
      <c r="B139" s="3"/>
      <c r="C139" s="3"/>
      <c r="D139" s="3"/>
      <c r="E139" s="3"/>
      <c r="F139" s="3"/>
    </row>
    <row r="140" spans="1:6" x14ac:dyDescent="0.35">
      <c r="A140" s="3">
        <v>135</v>
      </c>
      <c r="B140" s="3"/>
      <c r="C140" s="3"/>
      <c r="D140" s="3"/>
      <c r="E140" s="3"/>
      <c r="F140" s="3"/>
    </row>
    <row r="141" spans="1:6" x14ac:dyDescent="0.35">
      <c r="A141" s="3">
        <v>136</v>
      </c>
      <c r="B141" s="3"/>
      <c r="C141" s="3"/>
      <c r="D141" s="3"/>
      <c r="E141" s="3"/>
      <c r="F141" s="3"/>
    </row>
    <row r="142" spans="1:6" x14ac:dyDescent="0.35">
      <c r="A142" s="3">
        <v>137</v>
      </c>
      <c r="B142" s="3"/>
      <c r="C142" s="3"/>
      <c r="D142" s="3"/>
      <c r="E142" s="3"/>
      <c r="F142" s="3"/>
    </row>
    <row r="143" spans="1:6" x14ac:dyDescent="0.35">
      <c r="A143" s="3">
        <v>138</v>
      </c>
      <c r="B143" s="3"/>
      <c r="C143" s="3"/>
      <c r="D143" s="3"/>
      <c r="E143" s="3"/>
      <c r="F143" s="3"/>
    </row>
    <row r="144" spans="1:6" x14ac:dyDescent="0.35">
      <c r="A144" s="3">
        <v>139</v>
      </c>
      <c r="B144" s="3"/>
      <c r="C144" s="3"/>
      <c r="D144" s="3"/>
      <c r="E144" s="3"/>
      <c r="F144" s="3"/>
    </row>
    <row r="145" spans="1:6" x14ac:dyDescent="0.35">
      <c r="A145" s="3">
        <v>140</v>
      </c>
      <c r="B145" s="3"/>
      <c r="C145" s="3"/>
      <c r="D145" s="3"/>
      <c r="E145" s="3"/>
      <c r="F145" s="3"/>
    </row>
    <row r="146" spans="1:6" x14ac:dyDescent="0.35">
      <c r="A146" s="3">
        <v>141</v>
      </c>
      <c r="B146" s="3"/>
      <c r="C146" s="3"/>
      <c r="D146" s="3"/>
      <c r="E146" s="3"/>
      <c r="F146" s="3"/>
    </row>
    <row r="147" spans="1:6" x14ac:dyDescent="0.35">
      <c r="A147" s="3">
        <v>142</v>
      </c>
      <c r="B147" s="3"/>
      <c r="C147" s="3"/>
      <c r="D147" s="3"/>
      <c r="E147" s="3"/>
      <c r="F147" s="3"/>
    </row>
    <row r="148" spans="1:6" x14ac:dyDescent="0.35">
      <c r="A148" s="3">
        <v>143</v>
      </c>
      <c r="B148" s="3"/>
      <c r="C148" s="3"/>
      <c r="D148" s="3"/>
      <c r="E148" s="3"/>
      <c r="F148" s="3"/>
    </row>
    <row r="149" spans="1:6" x14ac:dyDescent="0.35">
      <c r="A149" s="3">
        <v>144</v>
      </c>
      <c r="B149" s="3"/>
      <c r="C149" s="3"/>
      <c r="D149" s="3"/>
      <c r="E149" s="3"/>
      <c r="F149" s="3"/>
    </row>
    <row r="150" spans="1:6" x14ac:dyDescent="0.35">
      <c r="A150" s="3">
        <v>145</v>
      </c>
      <c r="B150" s="3"/>
      <c r="C150" s="3"/>
      <c r="D150" s="3"/>
      <c r="E150" s="3"/>
      <c r="F150" s="3"/>
    </row>
    <row r="151" spans="1:6" x14ac:dyDescent="0.35">
      <c r="A151" s="3">
        <v>146</v>
      </c>
      <c r="B151" s="3"/>
      <c r="C151" s="3"/>
      <c r="D151" s="3"/>
      <c r="E151" s="3"/>
      <c r="F151" s="3"/>
    </row>
    <row r="152" spans="1:6" x14ac:dyDescent="0.35">
      <c r="A152" s="3">
        <v>147</v>
      </c>
      <c r="B152" s="3"/>
      <c r="C152" s="3"/>
      <c r="D152" s="3"/>
      <c r="E152" s="3"/>
      <c r="F152" s="3"/>
    </row>
    <row r="153" spans="1:6" x14ac:dyDescent="0.35">
      <c r="A153" s="3">
        <v>148</v>
      </c>
      <c r="B153" s="3"/>
      <c r="C153" s="3"/>
      <c r="D153" s="3"/>
      <c r="E153" s="3"/>
      <c r="F153" s="3"/>
    </row>
    <row r="154" spans="1:6" x14ac:dyDescent="0.35">
      <c r="A154" s="3">
        <v>149</v>
      </c>
      <c r="B154" s="3"/>
      <c r="C154" s="3"/>
      <c r="D154" s="3"/>
      <c r="E154" s="3"/>
      <c r="F154" s="3"/>
    </row>
    <row r="155" spans="1:6" x14ac:dyDescent="0.35">
      <c r="A155" s="3">
        <v>150</v>
      </c>
      <c r="B155" s="3"/>
      <c r="C155" s="3"/>
      <c r="D155" s="3"/>
      <c r="E155" s="3"/>
      <c r="F155" s="3"/>
    </row>
    <row r="156" spans="1:6" x14ac:dyDescent="0.35">
      <c r="A156" s="3">
        <v>151</v>
      </c>
      <c r="B156" s="3"/>
      <c r="C156" s="3"/>
      <c r="D156" s="3"/>
      <c r="E156" s="3"/>
      <c r="F156" s="3"/>
    </row>
    <row r="157" spans="1:6" x14ac:dyDescent="0.35">
      <c r="A157" s="3">
        <v>152</v>
      </c>
      <c r="B157" s="3"/>
      <c r="C157" s="3"/>
      <c r="D157" s="3"/>
      <c r="E157" s="3"/>
      <c r="F157" s="3"/>
    </row>
    <row r="158" spans="1:6" x14ac:dyDescent="0.35">
      <c r="A158" s="3">
        <v>153</v>
      </c>
      <c r="B158" s="3"/>
      <c r="C158" s="3"/>
      <c r="D158" s="3"/>
      <c r="E158" s="3"/>
      <c r="F158" s="3"/>
    </row>
    <row r="159" spans="1:6" x14ac:dyDescent="0.35">
      <c r="A159" s="3">
        <v>154</v>
      </c>
      <c r="B159" s="3"/>
      <c r="C159" s="3"/>
      <c r="D159" s="3"/>
      <c r="E159" s="3"/>
      <c r="F159" s="3"/>
    </row>
    <row r="160" spans="1:6" x14ac:dyDescent="0.35">
      <c r="A160" s="3">
        <v>155</v>
      </c>
      <c r="B160" s="3"/>
      <c r="C160" s="3"/>
      <c r="D160" s="3"/>
      <c r="E160" s="3"/>
      <c r="F160" s="3"/>
    </row>
    <row r="161" spans="1:6" x14ac:dyDescent="0.35">
      <c r="A161" s="3">
        <v>156</v>
      </c>
      <c r="B161" s="3"/>
      <c r="C161" s="3"/>
      <c r="D161" s="3"/>
      <c r="E161" s="3"/>
      <c r="F161" s="3"/>
    </row>
    <row r="162" spans="1:6" x14ac:dyDescent="0.35">
      <c r="A162" s="3">
        <v>157</v>
      </c>
      <c r="B162" s="3"/>
      <c r="C162" s="3"/>
      <c r="D162" s="3"/>
      <c r="E162" s="3"/>
      <c r="F162" s="3"/>
    </row>
    <row r="163" spans="1:6" x14ac:dyDescent="0.35">
      <c r="A163" s="3">
        <v>158</v>
      </c>
      <c r="B163" s="3"/>
      <c r="C163" s="3"/>
      <c r="D163" s="3"/>
      <c r="E163" s="3"/>
      <c r="F163" s="3"/>
    </row>
    <row r="164" spans="1:6" x14ac:dyDescent="0.35">
      <c r="A164" s="3">
        <v>159</v>
      </c>
      <c r="B164" s="3"/>
      <c r="C164" s="3"/>
      <c r="D164" s="3"/>
      <c r="E164" s="3"/>
      <c r="F164" s="3"/>
    </row>
    <row r="165" spans="1:6" x14ac:dyDescent="0.35">
      <c r="A165" s="3">
        <v>160</v>
      </c>
      <c r="B165" s="3"/>
      <c r="C165" s="3"/>
      <c r="D165" s="3"/>
      <c r="E165" s="3"/>
      <c r="F165" s="3"/>
    </row>
    <row r="166" spans="1:6" x14ac:dyDescent="0.35">
      <c r="A166" s="3">
        <v>161</v>
      </c>
      <c r="B166" s="3"/>
      <c r="C166" s="3"/>
      <c r="D166" s="3"/>
      <c r="E166" s="3"/>
      <c r="F166" s="3"/>
    </row>
    <row r="167" spans="1:6" x14ac:dyDescent="0.35">
      <c r="A167" s="3">
        <v>162</v>
      </c>
      <c r="B167" s="3"/>
      <c r="C167" s="3"/>
      <c r="D167" s="3"/>
      <c r="E167" s="3"/>
      <c r="F167" s="3"/>
    </row>
    <row r="168" spans="1:6" x14ac:dyDescent="0.35">
      <c r="A168" s="3">
        <v>163</v>
      </c>
      <c r="B168" s="3"/>
      <c r="C168" s="3"/>
      <c r="D168" s="3"/>
      <c r="E168" s="3"/>
      <c r="F168" s="3"/>
    </row>
    <row r="169" spans="1:6" x14ac:dyDescent="0.35">
      <c r="A169" s="3">
        <v>164</v>
      </c>
      <c r="B169" s="3"/>
      <c r="C169" s="3"/>
      <c r="D169" s="3"/>
      <c r="E169" s="3"/>
      <c r="F169" s="3"/>
    </row>
    <row r="170" spans="1:6" x14ac:dyDescent="0.35">
      <c r="A170" s="3">
        <v>165</v>
      </c>
      <c r="B170" s="3"/>
      <c r="C170" s="3"/>
      <c r="D170" s="3"/>
      <c r="E170" s="3"/>
      <c r="F170" s="3"/>
    </row>
    <row r="171" spans="1:6" x14ac:dyDescent="0.35">
      <c r="A171" s="3">
        <v>166</v>
      </c>
      <c r="B171" s="3"/>
      <c r="C171" s="3"/>
      <c r="D171" s="3"/>
      <c r="E171" s="3"/>
      <c r="F171" s="3"/>
    </row>
    <row r="172" spans="1:6" x14ac:dyDescent="0.35">
      <c r="A172" s="3">
        <v>167</v>
      </c>
      <c r="B172" s="3"/>
      <c r="C172" s="3"/>
      <c r="D172" s="3"/>
      <c r="E172" s="3"/>
      <c r="F172" s="3"/>
    </row>
    <row r="173" spans="1:6" x14ac:dyDescent="0.35">
      <c r="A173" s="3">
        <v>168</v>
      </c>
      <c r="B173" s="3"/>
      <c r="C173" s="3"/>
      <c r="D173" s="3"/>
      <c r="E173" s="3"/>
      <c r="F173" s="3"/>
    </row>
    <row r="174" spans="1:6" x14ac:dyDescent="0.35">
      <c r="A174" s="3">
        <v>169</v>
      </c>
      <c r="B174" s="3"/>
      <c r="C174" s="3"/>
      <c r="D174" s="3"/>
      <c r="E174" s="3"/>
      <c r="F174" s="3"/>
    </row>
    <row r="175" spans="1:6" x14ac:dyDescent="0.35">
      <c r="A175" s="3">
        <v>170</v>
      </c>
      <c r="B175" s="3"/>
      <c r="C175" s="3"/>
      <c r="D175" s="3"/>
      <c r="E175" s="3"/>
      <c r="F175" s="3"/>
    </row>
    <row r="176" spans="1:6" x14ac:dyDescent="0.35">
      <c r="A176" s="3">
        <v>171</v>
      </c>
      <c r="B176" s="3"/>
      <c r="C176" s="3"/>
      <c r="D176" s="3"/>
      <c r="E176" s="3"/>
      <c r="F176" s="3"/>
    </row>
    <row r="177" spans="1:6" x14ac:dyDescent="0.35">
      <c r="A177" s="3">
        <v>172</v>
      </c>
      <c r="B177" s="3"/>
      <c r="C177" s="3"/>
      <c r="D177" s="3"/>
      <c r="E177" s="3"/>
      <c r="F177" s="3"/>
    </row>
    <row r="178" spans="1:6" x14ac:dyDescent="0.35">
      <c r="A178" s="3">
        <v>173</v>
      </c>
      <c r="B178" s="3"/>
      <c r="C178" s="3"/>
      <c r="D178" s="3"/>
      <c r="E178" s="3"/>
      <c r="F178" s="3"/>
    </row>
    <row r="179" spans="1:6" x14ac:dyDescent="0.35">
      <c r="A179" s="3">
        <v>174</v>
      </c>
      <c r="B179" s="3"/>
      <c r="C179" s="3"/>
      <c r="D179" s="3"/>
      <c r="E179" s="3"/>
      <c r="F179" s="3"/>
    </row>
    <row r="180" spans="1:6" x14ac:dyDescent="0.35">
      <c r="A180" s="3">
        <v>175</v>
      </c>
      <c r="B180" s="3"/>
      <c r="C180" s="3"/>
      <c r="D180" s="3"/>
      <c r="E180" s="3"/>
      <c r="F180" s="3"/>
    </row>
    <row r="181" spans="1:6" x14ac:dyDescent="0.35">
      <c r="A181" s="3">
        <v>176</v>
      </c>
      <c r="B181" s="3"/>
      <c r="C181" s="3"/>
      <c r="D181" s="3"/>
      <c r="E181" s="3"/>
      <c r="F181" s="3"/>
    </row>
    <row r="182" spans="1:6" x14ac:dyDescent="0.35">
      <c r="A182" s="3">
        <v>177</v>
      </c>
      <c r="B182" s="3"/>
      <c r="C182" s="3"/>
      <c r="D182" s="3"/>
      <c r="E182" s="3"/>
      <c r="F182" s="3"/>
    </row>
    <row r="183" spans="1:6" x14ac:dyDescent="0.35">
      <c r="A183" s="3">
        <v>178</v>
      </c>
      <c r="B183" s="3"/>
      <c r="C183" s="3"/>
      <c r="D183" s="3"/>
      <c r="E183" s="3"/>
      <c r="F183" s="3"/>
    </row>
    <row r="184" spans="1:6" x14ac:dyDescent="0.35">
      <c r="A184" s="3">
        <v>179</v>
      </c>
      <c r="B184" s="3"/>
      <c r="C184" s="3"/>
      <c r="D184" s="3"/>
      <c r="E184" s="3"/>
      <c r="F184" s="3"/>
    </row>
    <row r="185" spans="1:6" x14ac:dyDescent="0.35">
      <c r="A185" s="3">
        <v>180</v>
      </c>
      <c r="B185" s="3"/>
      <c r="C185" s="3"/>
      <c r="D185" s="3"/>
      <c r="E185" s="3"/>
      <c r="F185" s="3"/>
    </row>
    <row r="186" spans="1:6" x14ac:dyDescent="0.35">
      <c r="A186" s="3">
        <v>181</v>
      </c>
      <c r="B186" s="3"/>
      <c r="C186" s="3"/>
      <c r="D186" s="3"/>
      <c r="E186" s="3"/>
      <c r="F186" s="3"/>
    </row>
    <row r="187" spans="1:6" x14ac:dyDescent="0.35">
      <c r="A187" s="3">
        <v>182</v>
      </c>
      <c r="B187" s="3"/>
      <c r="C187" s="3"/>
      <c r="D187" s="3"/>
      <c r="E187" s="3"/>
      <c r="F187" s="3"/>
    </row>
    <row r="188" spans="1:6" x14ac:dyDescent="0.35">
      <c r="A188" s="3">
        <v>183</v>
      </c>
      <c r="B188" s="3"/>
      <c r="C188" s="3"/>
      <c r="D188" s="3"/>
      <c r="E188" s="3"/>
      <c r="F188" s="3"/>
    </row>
    <row r="189" spans="1:6" x14ac:dyDescent="0.35">
      <c r="A189" s="3">
        <v>184</v>
      </c>
      <c r="B189" s="3"/>
      <c r="C189" s="3"/>
      <c r="D189" s="3"/>
      <c r="E189" s="3"/>
      <c r="F189" s="3"/>
    </row>
    <row r="190" spans="1:6" x14ac:dyDescent="0.35">
      <c r="A190" s="3">
        <v>185</v>
      </c>
      <c r="B190" s="3"/>
      <c r="C190" s="3"/>
      <c r="D190" s="3"/>
      <c r="E190" s="3"/>
      <c r="F190" s="3"/>
    </row>
    <row r="191" spans="1:6" x14ac:dyDescent="0.35">
      <c r="A191" s="3">
        <v>186</v>
      </c>
      <c r="B191" s="3"/>
      <c r="C191" s="3"/>
      <c r="D191" s="3"/>
      <c r="E191" s="3"/>
      <c r="F191" s="3"/>
    </row>
    <row r="192" spans="1:6" x14ac:dyDescent="0.35">
      <c r="A192" s="3">
        <v>187</v>
      </c>
      <c r="B192" s="3"/>
      <c r="C192" s="3"/>
      <c r="D192" s="3"/>
      <c r="E192" s="3"/>
      <c r="F192" s="3"/>
    </row>
    <row r="193" spans="1:6" x14ac:dyDescent="0.35">
      <c r="A193" s="3">
        <v>188</v>
      </c>
      <c r="B193" s="3"/>
      <c r="C193" s="3"/>
      <c r="D193" s="3"/>
      <c r="E193" s="3"/>
      <c r="F193" s="3"/>
    </row>
    <row r="194" spans="1:6" x14ac:dyDescent="0.35">
      <c r="A194" s="3">
        <v>189</v>
      </c>
      <c r="B194" s="3"/>
      <c r="C194" s="3"/>
      <c r="D194" s="3"/>
      <c r="E194" s="3"/>
      <c r="F194" s="3"/>
    </row>
    <row r="195" spans="1:6" x14ac:dyDescent="0.35">
      <c r="A195" s="3">
        <v>190</v>
      </c>
      <c r="B195" s="3"/>
      <c r="C195" s="3"/>
      <c r="D195" s="3"/>
      <c r="E195" s="3"/>
      <c r="F195" s="3"/>
    </row>
    <row r="196" spans="1:6" x14ac:dyDescent="0.35">
      <c r="A196" s="3">
        <v>191</v>
      </c>
      <c r="B196" s="3"/>
      <c r="C196" s="3"/>
      <c r="D196" s="3"/>
      <c r="E196" s="3"/>
      <c r="F196" s="3"/>
    </row>
    <row r="197" spans="1:6" x14ac:dyDescent="0.35">
      <c r="A197" s="3">
        <v>192</v>
      </c>
      <c r="B197" s="3"/>
      <c r="C197" s="3"/>
      <c r="D197" s="3"/>
      <c r="E197" s="3"/>
      <c r="F197" s="3"/>
    </row>
    <row r="198" spans="1:6" x14ac:dyDescent="0.35">
      <c r="A198" s="3">
        <v>193</v>
      </c>
      <c r="B198" s="3"/>
      <c r="C198" s="3"/>
      <c r="D198" s="3"/>
      <c r="E198" s="3"/>
      <c r="F198" s="3"/>
    </row>
    <row r="199" spans="1:6" x14ac:dyDescent="0.35">
      <c r="A199" s="3">
        <v>194</v>
      </c>
      <c r="B199" s="3"/>
      <c r="C199" s="3"/>
      <c r="D199" s="3"/>
      <c r="E199" s="3"/>
      <c r="F199" s="3"/>
    </row>
    <row r="200" spans="1:6" x14ac:dyDescent="0.35">
      <c r="A200" s="3">
        <v>195</v>
      </c>
      <c r="B200" s="3"/>
      <c r="C200" s="3"/>
      <c r="D200" s="3"/>
      <c r="E200" s="3"/>
      <c r="F200" s="3"/>
    </row>
    <row r="201" spans="1:6" x14ac:dyDescent="0.35">
      <c r="A201" s="3">
        <v>196</v>
      </c>
      <c r="B201" s="3"/>
      <c r="C201" s="3"/>
      <c r="D201" s="3"/>
      <c r="E201" s="3"/>
      <c r="F201" s="3"/>
    </row>
    <row r="202" spans="1:6" x14ac:dyDescent="0.35">
      <c r="A202" s="3">
        <v>197</v>
      </c>
      <c r="B202" s="3"/>
      <c r="C202" s="3"/>
      <c r="D202" s="3"/>
      <c r="E202" s="3"/>
      <c r="F202" s="3"/>
    </row>
    <row r="203" spans="1:6" x14ac:dyDescent="0.35">
      <c r="A203" s="3">
        <v>198</v>
      </c>
      <c r="B203" s="3"/>
      <c r="C203" s="3"/>
      <c r="D203" s="3"/>
      <c r="E203" s="3"/>
      <c r="F203" s="3"/>
    </row>
    <row r="204" spans="1:6" x14ac:dyDescent="0.35">
      <c r="A204" s="3">
        <v>199</v>
      </c>
      <c r="B204" s="3"/>
      <c r="C204" s="3"/>
      <c r="D204" s="3"/>
      <c r="E204" s="3"/>
      <c r="F204" s="3"/>
    </row>
    <row r="205" spans="1:6" x14ac:dyDescent="0.35">
      <c r="A205" s="3">
        <v>200</v>
      </c>
      <c r="B205" s="3"/>
      <c r="C205" s="3"/>
      <c r="D205" s="3"/>
      <c r="E205" s="3"/>
      <c r="F205" s="3"/>
    </row>
    <row r="206" spans="1:6" x14ac:dyDescent="0.35">
      <c r="A206" s="3">
        <v>201</v>
      </c>
      <c r="B206" s="3"/>
      <c r="C206" s="3"/>
      <c r="D206" s="3"/>
      <c r="E206" s="3"/>
      <c r="F206" s="3"/>
    </row>
    <row r="207" spans="1:6" x14ac:dyDescent="0.35">
      <c r="A207" s="3">
        <v>202</v>
      </c>
      <c r="B207" s="3"/>
      <c r="C207" s="3"/>
      <c r="D207" s="3"/>
      <c r="E207" s="3"/>
      <c r="F207" s="3"/>
    </row>
    <row r="208" spans="1:6" x14ac:dyDescent="0.35">
      <c r="A208" s="3">
        <v>203</v>
      </c>
      <c r="B208" s="3"/>
      <c r="C208" s="3"/>
      <c r="D208" s="3"/>
      <c r="E208" s="3"/>
      <c r="F208" s="3"/>
    </row>
    <row r="209" spans="1:6" x14ac:dyDescent="0.35">
      <c r="A209" s="3">
        <v>204</v>
      </c>
      <c r="B209" s="3"/>
      <c r="C209" s="3"/>
      <c r="D209" s="3"/>
      <c r="E209" s="3"/>
      <c r="F209" s="3"/>
    </row>
    <row r="210" spans="1:6" x14ac:dyDescent="0.35">
      <c r="A210" s="3">
        <v>205</v>
      </c>
      <c r="B210" s="3"/>
      <c r="C210" s="3"/>
      <c r="D210" s="3"/>
      <c r="E210" s="3"/>
      <c r="F210" s="3"/>
    </row>
    <row r="211" spans="1:6" x14ac:dyDescent="0.35">
      <c r="A211" s="3">
        <v>206</v>
      </c>
      <c r="B211" s="3"/>
      <c r="C211" s="3"/>
      <c r="D211" s="3"/>
      <c r="E211" s="3"/>
      <c r="F211" s="3"/>
    </row>
    <row r="212" spans="1:6" x14ac:dyDescent="0.35">
      <c r="A212" s="3">
        <v>207</v>
      </c>
      <c r="B212" s="3"/>
      <c r="C212" s="3"/>
      <c r="D212" s="3"/>
      <c r="E212" s="3"/>
      <c r="F212" s="3"/>
    </row>
    <row r="213" spans="1:6" x14ac:dyDescent="0.35">
      <c r="A213" s="3">
        <v>208</v>
      </c>
      <c r="B213" s="3"/>
      <c r="C213" s="3"/>
      <c r="D213" s="3"/>
      <c r="E213" s="3"/>
      <c r="F213" s="3"/>
    </row>
    <row r="214" spans="1:6" x14ac:dyDescent="0.35">
      <c r="A214" s="3">
        <v>209</v>
      </c>
      <c r="B214" s="3"/>
      <c r="C214" s="3"/>
      <c r="D214" s="3"/>
      <c r="E214" s="3"/>
      <c r="F214" s="3"/>
    </row>
    <row r="215" spans="1:6" x14ac:dyDescent="0.35">
      <c r="A215" s="3">
        <v>210</v>
      </c>
      <c r="B215" s="3"/>
      <c r="C215" s="3"/>
      <c r="D215" s="3"/>
      <c r="E215" s="3"/>
      <c r="F215" s="3"/>
    </row>
    <row r="216" spans="1:6" x14ac:dyDescent="0.35">
      <c r="A216" s="3">
        <v>211</v>
      </c>
      <c r="B216" s="3"/>
      <c r="C216" s="3"/>
      <c r="D216" s="3"/>
      <c r="E216" s="3"/>
      <c r="F216" s="3"/>
    </row>
    <row r="217" spans="1:6" x14ac:dyDescent="0.35">
      <c r="A217" s="3">
        <v>212</v>
      </c>
      <c r="B217" s="3"/>
      <c r="C217" s="3"/>
      <c r="D217" s="3"/>
      <c r="E217" s="3"/>
      <c r="F217" s="3"/>
    </row>
    <row r="218" spans="1:6" x14ac:dyDescent="0.35">
      <c r="A218" s="3">
        <v>213</v>
      </c>
      <c r="B218" s="3"/>
      <c r="C218" s="3"/>
      <c r="D218" s="3"/>
      <c r="E218" s="3"/>
      <c r="F218" s="3"/>
    </row>
    <row r="219" spans="1:6" x14ac:dyDescent="0.35">
      <c r="A219" s="3">
        <v>214</v>
      </c>
      <c r="B219" s="3"/>
      <c r="C219" s="3"/>
      <c r="D219" s="3"/>
      <c r="E219" s="3"/>
      <c r="F219" s="3"/>
    </row>
    <row r="220" spans="1:6" x14ac:dyDescent="0.35">
      <c r="A220" s="3">
        <v>215</v>
      </c>
      <c r="B220" s="3"/>
      <c r="C220" s="3"/>
      <c r="D220" s="3"/>
      <c r="E220" s="3"/>
      <c r="F220" s="3"/>
    </row>
    <row r="221" spans="1:6" x14ac:dyDescent="0.35">
      <c r="A221" s="3">
        <v>216</v>
      </c>
      <c r="B221" s="3"/>
      <c r="C221" s="3"/>
      <c r="D221" s="3"/>
      <c r="E221" s="3"/>
      <c r="F221" s="3"/>
    </row>
    <row r="222" spans="1:6" x14ac:dyDescent="0.35">
      <c r="A222" s="3">
        <v>217</v>
      </c>
      <c r="B222" s="3"/>
      <c r="C222" s="3"/>
      <c r="D222" s="3"/>
      <c r="E222" s="3"/>
      <c r="F222" s="3"/>
    </row>
    <row r="223" spans="1:6" x14ac:dyDescent="0.35">
      <c r="A223" s="3">
        <v>218</v>
      </c>
      <c r="B223" s="3"/>
      <c r="C223" s="3"/>
      <c r="D223" s="3"/>
      <c r="E223" s="3"/>
      <c r="F223" s="3"/>
    </row>
    <row r="224" spans="1:6" x14ac:dyDescent="0.35">
      <c r="A224" s="3">
        <v>219</v>
      </c>
      <c r="B224" s="3"/>
      <c r="C224" s="3"/>
      <c r="D224" s="3"/>
      <c r="E224" s="3"/>
      <c r="F224" s="3"/>
    </row>
    <row r="225" spans="1:6" x14ac:dyDescent="0.35">
      <c r="A225" s="3">
        <v>220</v>
      </c>
      <c r="B225" s="3"/>
      <c r="C225" s="3"/>
      <c r="D225" s="3"/>
      <c r="E225" s="3"/>
      <c r="F225" s="3"/>
    </row>
    <row r="226" spans="1:6" x14ac:dyDescent="0.35">
      <c r="A226" s="3">
        <v>221</v>
      </c>
      <c r="B226" s="3"/>
      <c r="C226" s="3"/>
      <c r="D226" s="3"/>
      <c r="E226" s="3"/>
      <c r="F226" s="3"/>
    </row>
    <row r="227" spans="1:6" x14ac:dyDescent="0.35">
      <c r="A227" s="3">
        <v>222</v>
      </c>
      <c r="B227" s="3"/>
      <c r="C227" s="3"/>
      <c r="D227" s="3"/>
      <c r="E227" s="3"/>
      <c r="F227" s="3"/>
    </row>
    <row r="228" spans="1:6" x14ac:dyDescent="0.35">
      <c r="A228" s="3">
        <v>223</v>
      </c>
      <c r="B228" s="3"/>
      <c r="C228" s="3"/>
      <c r="D228" s="3"/>
      <c r="E228" s="3"/>
      <c r="F228" s="3"/>
    </row>
    <row r="229" spans="1:6" x14ac:dyDescent="0.35">
      <c r="A229" s="3">
        <v>224</v>
      </c>
      <c r="B229" s="3"/>
      <c r="C229" s="3"/>
      <c r="D229" s="3"/>
      <c r="E229" s="3"/>
      <c r="F229" s="3"/>
    </row>
    <row r="230" spans="1:6" x14ac:dyDescent="0.35">
      <c r="A230" s="3">
        <v>225</v>
      </c>
      <c r="B230" s="3"/>
      <c r="C230" s="3"/>
      <c r="D230" s="3"/>
      <c r="E230" s="3"/>
      <c r="F230" s="3"/>
    </row>
    <row r="231" spans="1:6" x14ac:dyDescent="0.35">
      <c r="A231" s="3">
        <v>226</v>
      </c>
      <c r="B231" s="3"/>
      <c r="C231" s="3"/>
      <c r="D231" s="3"/>
      <c r="E231" s="3"/>
      <c r="F231" s="3"/>
    </row>
    <row r="232" spans="1:6" x14ac:dyDescent="0.35">
      <c r="A232" s="3">
        <v>227</v>
      </c>
      <c r="B232" s="3"/>
      <c r="C232" s="3"/>
      <c r="D232" s="3"/>
      <c r="E232" s="3"/>
      <c r="F232" s="3"/>
    </row>
    <row r="233" spans="1:6" x14ac:dyDescent="0.35">
      <c r="A233" s="3">
        <v>228</v>
      </c>
      <c r="B233" s="3"/>
      <c r="C233" s="3"/>
      <c r="D233" s="3"/>
      <c r="E233" s="3"/>
      <c r="F233" s="3"/>
    </row>
    <row r="234" spans="1:6" x14ac:dyDescent="0.35">
      <c r="A234" s="3">
        <v>229</v>
      </c>
      <c r="B234" s="3"/>
      <c r="C234" s="3"/>
      <c r="D234" s="3"/>
      <c r="E234" s="3"/>
      <c r="F234" s="3"/>
    </row>
    <row r="235" spans="1:6" x14ac:dyDescent="0.35">
      <c r="A235" s="3">
        <v>230</v>
      </c>
      <c r="B235" s="3"/>
      <c r="C235" s="3"/>
      <c r="D235" s="3"/>
      <c r="E235" s="3"/>
      <c r="F235" s="3"/>
    </row>
    <row r="236" spans="1:6" x14ac:dyDescent="0.35">
      <c r="A236" s="3">
        <v>231</v>
      </c>
      <c r="B236" s="3"/>
      <c r="C236" s="3"/>
      <c r="D236" s="3"/>
      <c r="E236" s="3"/>
      <c r="F236" s="3"/>
    </row>
    <row r="237" spans="1:6" x14ac:dyDescent="0.35">
      <c r="A237" s="3">
        <v>232</v>
      </c>
      <c r="B237" s="3"/>
      <c r="C237" s="3"/>
      <c r="D237" s="3"/>
      <c r="E237" s="3"/>
      <c r="F237" s="3"/>
    </row>
    <row r="238" spans="1:6" x14ac:dyDescent="0.35">
      <c r="A238" s="3">
        <v>233</v>
      </c>
      <c r="B238" s="3"/>
      <c r="C238" s="3"/>
      <c r="D238" s="3"/>
      <c r="E238" s="3"/>
      <c r="F238" s="3"/>
    </row>
  </sheetData>
  <mergeCells count="2">
    <mergeCell ref="A3:G3"/>
    <mergeCell ref="A1:E2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JURAMENTO A LA BANDERA </vt:lpstr>
      <vt:lpstr>3EROS LISTADOS</vt:lpstr>
      <vt:lpstr>LISTADO RESAGADOS FOTOS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Geovanny Herrera Mayorga</dc:creator>
  <cp:lastModifiedBy>Byron Geovanny Herrera Mayorga</cp:lastModifiedBy>
  <cp:lastPrinted>2026-09-29T15:15:31Z</cp:lastPrinted>
  <dcterms:created xsi:type="dcterms:W3CDTF">2026-09-18T02:50:33Z</dcterms:created>
  <dcterms:modified xsi:type="dcterms:W3CDTF">2026-10-01T02:10:55Z</dcterms:modified>
</cp:coreProperties>
</file>